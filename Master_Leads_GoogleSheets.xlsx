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s" sheetId="1" state="visible" r:id="rId1"/>
    <sheet xmlns:r="http://schemas.openxmlformats.org/officeDocument/2006/relationships" name="Leads Summary" sheetId="2" state="visible" r:id="rId2"/>
    <sheet xmlns:r="http://schemas.openxmlformats.org/officeDocument/2006/relationships" name="Members" sheetId="3" state="visible" r:id="rId3"/>
    <sheet xmlns:r="http://schemas.openxmlformats.org/officeDocument/2006/relationships" name="Instructions" sheetId="4" state="visible" r:id="rId4"/>
  </sheets>
  <definedNames>
    <definedName name="_xlnm._FilterDatabase" localSheetId="0" hidden="1">'Master Leads'!$A$1:$P$1</definedName>
    <definedName name="_xlnm._FilterDatabase" localSheetId="2" hidden="1">'Members'!$A$1:$I$1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64748B"/>
      <sz val="9"/>
    </font>
    <font>
      <name val="Calibri"/>
      <color rgb="00000000"/>
      <sz val="10"/>
    </font>
    <font>
      <name val="Calibri"/>
      <b val="1"/>
      <color rgb="000D2744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b val="1"/>
      <color rgb="001E293B"/>
      <sz val="10"/>
    </font>
    <font>
      <name val="Calibri"/>
      <color rgb="00C2410C"/>
      <sz val="10"/>
    </font>
    <font>
      <name val="Calibri"/>
      <color rgb="001E293B"/>
      <sz val="10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6"/>
    </font>
    <font>
      <name val="Calibri"/>
      <color rgb="00BFDBFE"/>
      <sz val="9"/>
    </font>
    <font>
      <name val="Calibri"/>
      <b val="1"/>
      <color rgb="000D2744"/>
      <sz val="11"/>
    </font>
    <font>
      <name val="Calibri"/>
      <b val="1"/>
      <color rgb="00FFFFFF"/>
      <sz val="9"/>
    </font>
    <font>
      <name val="Calibri"/>
      <b val="1"/>
      <color rgb="001565C0"/>
      <sz val="10"/>
    </font>
    <font>
      <name val="Calibri"/>
      <b val="1"/>
      <color rgb="00166534"/>
      <sz val="11"/>
    </font>
    <font>
      <name val="Calibri"/>
      <b val="1"/>
      <color rgb="00312E81"/>
      <sz val="10"/>
    </font>
    <font>
      <name val="Calibri"/>
      <i val="1"/>
      <color rgb="0064748B"/>
      <sz val="9"/>
    </font>
    <font>
      <name val="Calibri"/>
      <b val="1"/>
      <color rgb="00134E4A"/>
      <sz val="10"/>
    </font>
    <font>
      <name val="Calibri"/>
      <b val="1"/>
      <color rgb="00C2410C"/>
      <sz val="11"/>
    </font>
    <font>
      <name val="Calibri"/>
      <b val="1"/>
      <color rgb="00C2410C"/>
      <sz val="10"/>
    </font>
    <font>
      <name val="Calibri"/>
      <b val="1"/>
      <color rgb="00EA580C"/>
      <sz val="10"/>
    </font>
    <font>
      <name val="Calibri"/>
      <b val="1"/>
      <color rgb="00312E81"/>
      <sz val="11"/>
    </font>
  </fonts>
  <fills count="26">
    <fill>
      <patternFill/>
    </fill>
    <fill>
      <patternFill patternType="gray125"/>
    </fill>
    <fill>
      <patternFill patternType="solid">
        <fgColor rgb="000D2744"/>
      </patternFill>
    </fill>
    <fill>
      <patternFill patternType="solid">
        <fgColor rgb="001976D2"/>
      </patternFill>
    </fill>
    <fill>
      <patternFill patternType="solid">
        <fgColor rgb="0064748B"/>
      </patternFill>
    </fill>
    <fill>
      <patternFill patternType="solid">
        <fgColor rgb="00134E4A"/>
      </patternFill>
    </fill>
    <fill>
      <patternFill patternType="solid">
        <fgColor rgb="00991B1B"/>
      </patternFill>
    </fill>
    <fill>
      <patternFill patternType="solid">
        <fgColor rgb="00C2410C"/>
      </patternFill>
    </fill>
    <fill>
      <patternFill patternType="solid">
        <fgColor rgb="004C1D95"/>
      </patternFill>
    </fill>
    <fill>
      <patternFill patternType="solid">
        <fgColor rgb="00166534"/>
      </patternFill>
    </fill>
    <fill>
      <patternFill patternType="solid">
        <fgColor rgb="001565C0"/>
      </patternFill>
    </fill>
    <fill>
      <patternFill patternType="solid">
        <fgColor rgb="00E2E8F0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A580C"/>
      </patternFill>
    </fill>
    <fill>
      <patternFill patternType="solid">
        <fgColor rgb="00312E81"/>
      </patternFill>
    </fill>
    <fill>
      <patternFill patternType="solid">
        <fgColor rgb="000284C7"/>
      </patternFill>
    </fill>
    <fill>
      <patternFill patternType="solid">
        <fgColor rgb="001E40AF"/>
      </patternFill>
    </fill>
    <fill>
      <patternFill patternType="solid">
        <fgColor rgb="00475569"/>
      </patternFill>
    </fill>
    <fill>
      <patternFill patternType="solid">
        <fgColor rgb="00D97706"/>
      </patternFill>
    </fill>
    <fill>
      <patternFill patternType="solid">
        <fgColor rgb="00B91C1C"/>
      </patternFill>
    </fill>
    <fill>
      <patternFill patternType="solid">
        <fgColor rgb="000369A1"/>
      </patternFill>
    </fill>
  </fills>
  <borders count="8">
    <border>
      <left/>
      <right/>
      <top/>
      <bottom/>
      <diagonal/>
    </border>
    <border>
      <left style="medium">
        <color rgb="000D2744"/>
      </left>
      <right style="medium">
        <color rgb="000D2744"/>
      </right>
      <top style="medium">
        <color rgb="000D2744"/>
      </top>
      <bottom style="medium">
        <color rgb="000D2744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bottom style="medium">
        <color rgb="00000000"/>
      </bottom>
    </border>
  </borders>
  <cellStyleXfs count="1">
    <xf numFmtId="0" fontId="0" fillId="0" borderId="0"/>
  </cellStyleXfs>
  <cellXfs count="4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2" fillId="11" borderId="2" pivotButton="0" quotePrefix="0" xfId="0"/>
    <xf numFmtId="0" fontId="3" fillId="0" borderId="2" pivotButton="0" quotePrefix="0" xfId="0"/>
    <xf numFmtId="0" fontId="4" fillId="0" borderId="2" applyAlignment="1" pivotButton="0" quotePrefix="0" xfId="0">
      <alignment horizontal="center" vertical="center"/>
    </xf>
    <xf numFmtId="164" fontId="3" fillId="0" borderId="2" pivotButton="0" quotePrefix="0" xfId="0"/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4" fillId="12" borderId="2" pivotButton="0" quotePrefix="0" xfId="0"/>
    <xf numFmtId="0" fontId="7" fillId="12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165" fontId="9" fillId="12" borderId="2" applyAlignment="1" pivotButton="0" quotePrefix="0" xfId="0">
      <alignment horizontal="center" vertical="center"/>
    </xf>
    <xf numFmtId="164" fontId="0" fillId="12" borderId="2" pivotButton="0" quotePrefix="0" xfId="0"/>
    <xf numFmtId="0" fontId="0" fillId="12" borderId="2" pivotButton="0" quotePrefix="0" xfId="0"/>
    <xf numFmtId="0" fontId="4" fillId="13" borderId="2" pivotButton="0" quotePrefix="0" xfId="0"/>
    <xf numFmtId="0" fontId="7" fillId="13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165" fontId="9" fillId="13" borderId="2" applyAlignment="1" pivotButton="0" quotePrefix="0" xfId="0">
      <alignment horizontal="center" vertical="center"/>
    </xf>
    <xf numFmtId="164" fontId="0" fillId="13" borderId="2" pivotButton="0" quotePrefix="0" xfId="0"/>
    <xf numFmtId="0" fontId="0" fillId="13" borderId="2" pivotButton="0" quotePrefix="0" xfId="0"/>
    <xf numFmtId="0" fontId="1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0" fillId="2" borderId="2" pivotButton="0" quotePrefix="0" xfId="0"/>
    <xf numFmtId="0" fontId="11" fillId="2" borderId="0" applyAlignment="1" pivotButton="0" quotePrefix="0" xfId="0">
      <alignment horizontal="left" vertical="center" wrapText="1"/>
    </xf>
    <xf numFmtId="0" fontId="9" fillId="13" borderId="0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left" vertical="center" wrapText="1"/>
    </xf>
    <xf numFmtId="0" fontId="13" fillId="14" borderId="0" applyAlignment="1" pivotButton="0" quotePrefix="0" xfId="0">
      <alignment horizontal="left" vertical="center" wrapText="1"/>
    </xf>
    <xf numFmtId="0" fontId="0" fillId="15" borderId="0" pivotButton="0" quotePrefix="0" xfId="0"/>
    <xf numFmtId="0" fontId="14" fillId="2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16" fillId="15" borderId="0" pivotButton="0" quotePrefix="0" xfId="0"/>
    <xf numFmtId="0" fontId="17" fillId="2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left" vertical="center"/>
    </xf>
    <xf numFmtId="0" fontId="9" fillId="16" borderId="2" applyAlignment="1" pivotButton="0" quotePrefix="0" xfId="0">
      <alignment horizontal="center" vertical="center"/>
    </xf>
    <xf numFmtId="0" fontId="18" fillId="16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9" fillId="15" borderId="0" pivotButton="0" quotePrefix="0" xfId="0"/>
    <xf numFmtId="0" fontId="17" fillId="9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17" fillId="2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left" vertical="center"/>
    </xf>
    <xf numFmtId="0" fontId="9" fillId="16" borderId="2" applyAlignment="1" pivotButton="0" quotePrefix="0" xfId="0">
      <alignment horizontal="center" vertical="center"/>
    </xf>
    <xf numFmtId="0" fontId="18" fillId="16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0" fillId="17" borderId="2" applyAlignment="1" pivotButton="0" quotePrefix="0" xfId="0">
      <alignment horizontal="left" vertical="center"/>
    </xf>
    <xf numFmtId="164" fontId="7" fillId="13" borderId="1" applyAlignment="1" pivotButton="0" quotePrefix="0" xfId="0">
      <alignment horizontal="center" vertical="center"/>
    </xf>
    <xf numFmtId="0" fontId="20" fillId="17" borderId="2" applyAlignment="1" pivotButton="0" quotePrefix="0" xfId="0">
      <alignment horizontal="right" vertical="center"/>
    </xf>
    <xf numFmtId="0" fontId="21" fillId="17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7" fillId="2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165" fontId="9" fillId="13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left" vertical="center"/>
    </xf>
    <xf numFmtId="0" fontId="9" fillId="16" borderId="2" applyAlignment="1" pivotButton="0" quotePrefix="0" xfId="0">
      <alignment horizontal="center" vertical="center"/>
    </xf>
    <xf numFmtId="0" fontId="18" fillId="16" borderId="2" applyAlignment="1" pivotButton="0" quotePrefix="0" xfId="0">
      <alignment horizontal="center" vertical="center"/>
    </xf>
    <xf numFmtId="165" fontId="9" fillId="16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5" fontId="1" fillId="2" borderId="2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165" fontId="22" fillId="13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165" fontId="22" fillId="16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165" fontId="1" fillId="9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0" fillId="17" borderId="2" applyAlignment="1" pivotButton="0" quotePrefix="0" xfId="0">
      <alignment horizontal="left" vertical="center"/>
    </xf>
    <xf numFmtId="164" fontId="7" fillId="13" borderId="1" applyAlignment="1" pivotButton="0" quotePrefix="0" xfId="0">
      <alignment horizontal="center" vertical="center"/>
    </xf>
    <xf numFmtId="0" fontId="20" fillId="17" borderId="2" applyAlignment="1" pivotButton="0" quotePrefix="0" xfId="0">
      <alignment horizontal="right" vertical="center"/>
    </xf>
    <xf numFmtId="0" fontId="21" fillId="17" borderId="2" applyAlignment="1" pivotButton="0" quotePrefix="0" xfId="0">
      <alignment horizontal="left" vertical="center"/>
    </xf>
    <xf numFmtId="0" fontId="17" fillId="2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165" fontId="9" fillId="13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left" vertical="center"/>
    </xf>
    <xf numFmtId="0" fontId="9" fillId="16" borderId="2" applyAlignment="1" pivotButton="0" quotePrefix="0" xfId="0">
      <alignment horizontal="center" vertical="center"/>
    </xf>
    <xf numFmtId="0" fontId="18" fillId="16" borderId="2" applyAlignment="1" pivotButton="0" quotePrefix="0" xfId="0">
      <alignment horizontal="center" vertical="center"/>
    </xf>
    <xf numFmtId="165" fontId="9" fillId="16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5" fontId="1" fillId="2" borderId="2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165" fontId="22" fillId="13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165" fontId="22" fillId="16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165" fontId="1" fillId="9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0" fillId="17" borderId="2" applyAlignment="1" pivotButton="0" quotePrefix="0" xfId="0">
      <alignment horizontal="left" vertical="center"/>
    </xf>
    <xf numFmtId="164" fontId="7" fillId="13" borderId="1" applyAlignment="1" pivotButton="0" quotePrefix="0" xfId="0">
      <alignment horizontal="center" vertical="center"/>
    </xf>
    <xf numFmtId="0" fontId="20" fillId="17" borderId="2" applyAlignment="1" pivotButton="0" quotePrefix="0" xfId="0">
      <alignment horizontal="right" vertical="center"/>
    </xf>
    <xf numFmtId="0" fontId="21" fillId="17" borderId="2" applyAlignment="1" pivotButton="0" quotePrefix="0" xfId="0">
      <alignment horizontal="left" vertical="center"/>
    </xf>
    <xf numFmtId="0" fontId="17" fillId="2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165" fontId="9" fillId="13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left" vertical="center"/>
    </xf>
    <xf numFmtId="0" fontId="9" fillId="16" borderId="2" applyAlignment="1" pivotButton="0" quotePrefix="0" xfId="0">
      <alignment horizontal="center" vertical="center"/>
    </xf>
    <xf numFmtId="0" fontId="18" fillId="16" borderId="2" applyAlignment="1" pivotButton="0" quotePrefix="0" xfId="0">
      <alignment horizontal="center" vertical="center"/>
    </xf>
    <xf numFmtId="165" fontId="9" fillId="16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5" fontId="1" fillId="2" borderId="2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165" fontId="22" fillId="13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165" fontId="22" fillId="16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165" fontId="1" fillId="9" borderId="2" applyAlignment="1" pivotButton="0" quotePrefix="0" xfId="0">
      <alignment horizontal="center" vertical="center"/>
    </xf>
    <xf numFmtId="0" fontId="23" fillId="15" borderId="0" pivotButton="0" quotePrefix="0" xfId="0"/>
    <xf numFmtId="0" fontId="17" fillId="7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center" vertical="center"/>
    </xf>
    <xf numFmtId="0" fontId="24" fillId="13" borderId="2" applyAlignment="1" pivotButton="0" quotePrefix="0" xfId="0">
      <alignment horizontal="center" vertical="center"/>
    </xf>
    <xf numFmtId="165" fontId="25" fillId="13" borderId="2" applyAlignment="1" pivotButton="0" quotePrefix="0" xfId="0">
      <alignment horizontal="center" vertical="center"/>
    </xf>
    <xf numFmtId="0" fontId="24" fillId="16" borderId="2" applyAlignment="1" pivotButton="0" quotePrefix="0" xfId="0">
      <alignment horizontal="center" vertical="center"/>
    </xf>
    <xf numFmtId="165" fontId="25" fillId="1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165" fontId="1" fillId="7" borderId="2" applyAlignment="1" pivotButton="0" quotePrefix="0" xfId="0">
      <alignment horizontal="center" vertical="center"/>
    </xf>
    <xf numFmtId="0" fontId="26" fillId="15" borderId="0" pivotButton="0" quotePrefix="0" xfId="0"/>
    <xf numFmtId="0" fontId="17" fillId="19" borderId="1" applyAlignment="1" pivotButton="0" quotePrefix="0" xfId="0">
      <alignment horizontal="center" vertical="center"/>
    </xf>
    <xf numFmtId="0" fontId="17" fillId="20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1" fillId="19" borderId="2" applyAlignment="1" pivotButton="0" quotePrefix="0" xfId="0">
      <alignment horizontal="center" vertical="center"/>
    </xf>
    <xf numFmtId="165" fontId="1" fillId="19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0" fillId="17" borderId="2" applyAlignment="1" pivotButton="0" quotePrefix="0" xfId="0">
      <alignment horizontal="left" vertical="center"/>
    </xf>
    <xf numFmtId="164" fontId="7" fillId="13" borderId="1" applyAlignment="1" pivotButton="0" quotePrefix="0" xfId="0">
      <alignment horizontal="center" vertical="center"/>
    </xf>
    <xf numFmtId="0" fontId="20" fillId="17" borderId="2" applyAlignment="1" pivotButton="0" quotePrefix="0" xfId="0">
      <alignment horizontal="right" vertical="center"/>
    </xf>
    <xf numFmtId="0" fontId="21" fillId="17" borderId="2" applyAlignment="1" pivotButton="0" quotePrefix="0" xfId="0">
      <alignment horizontal="left" vertical="center"/>
    </xf>
    <xf numFmtId="0" fontId="17" fillId="2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165" fontId="9" fillId="13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left" vertical="center"/>
    </xf>
    <xf numFmtId="0" fontId="9" fillId="16" borderId="2" applyAlignment="1" pivotButton="0" quotePrefix="0" xfId="0">
      <alignment horizontal="center" vertical="center"/>
    </xf>
    <xf numFmtId="0" fontId="18" fillId="16" borderId="2" applyAlignment="1" pivotButton="0" quotePrefix="0" xfId="0">
      <alignment horizontal="center" vertical="center"/>
    </xf>
    <xf numFmtId="165" fontId="9" fillId="16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5" fontId="1" fillId="2" borderId="2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165" fontId="22" fillId="13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165" fontId="22" fillId="16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165" fontId="1" fillId="9" borderId="2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center" vertical="center"/>
    </xf>
    <xf numFmtId="0" fontId="24" fillId="13" borderId="2" applyAlignment="1" pivotButton="0" quotePrefix="0" xfId="0">
      <alignment horizontal="center" vertical="center"/>
    </xf>
    <xf numFmtId="165" fontId="25" fillId="13" borderId="2" applyAlignment="1" pivotButton="0" quotePrefix="0" xfId="0">
      <alignment horizontal="center" vertical="center"/>
    </xf>
    <xf numFmtId="0" fontId="24" fillId="16" borderId="2" applyAlignment="1" pivotButton="0" quotePrefix="0" xfId="0">
      <alignment horizontal="center" vertical="center"/>
    </xf>
    <xf numFmtId="165" fontId="25" fillId="1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165" fontId="1" fillId="7" borderId="2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7" fillId="20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1" fillId="19" borderId="2" applyAlignment="1" pivotButton="0" quotePrefix="0" xfId="0">
      <alignment horizontal="center" vertical="center"/>
    </xf>
    <xf numFmtId="165" fontId="1" fillId="19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0" fillId="17" borderId="2" applyAlignment="1" pivotButton="0" quotePrefix="0" xfId="0">
      <alignment horizontal="left" vertical="center"/>
    </xf>
    <xf numFmtId="164" fontId="7" fillId="13" borderId="1" applyAlignment="1" pivotButton="0" quotePrefix="0" xfId="0">
      <alignment horizontal="center" vertical="center"/>
    </xf>
    <xf numFmtId="0" fontId="20" fillId="17" borderId="2" applyAlignment="1" pivotButton="0" quotePrefix="0" xfId="0">
      <alignment horizontal="right" vertical="center"/>
    </xf>
    <xf numFmtId="0" fontId="21" fillId="17" borderId="2" applyAlignment="1" pivotButton="0" quotePrefix="0" xfId="0">
      <alignment horizontal="left" vertical="center"/>
    </xf>
    <xf numFmtId="0" fontId="17" fillId="2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165" fontId="9" fillId="13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left" vertical="center"/>
    </xf>
    <xf numFmtId="0" fontId="9" fillId="16" borderId="2" applyAlignment="1" pivotButton="0" quotePrefix="0" xfId="0">
      <alignment horizontal="center" vertical="center"/>
    </xf>
    <xf numFmtId="0" fontId="18" fillId="16" borderId="2" applyAlignment="1" pivotButton="0" quotePrefix="0" xfId="0">
      <alignment horizontal="center" vertical="center"/>
    </xf>
    <xf numFmtId="165" fontId="9" fillId="16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5" fontId="1" fillId="2" borderId="2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165" fontId="22" fillId="13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165" fontId="22" fillId="16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165" fontId="1" fillId="9" borderId="2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center" vertical="center"/>
    </xf>
    <xf numFmtId="0" fontId="24" fillId="13" borderId="2" applyAlignment="1" pivotButton="0" quotePrefix="0" xfId="0">
      <alignment horizontal="center" vertical="center"/>
    </xf>
    <xf numFmtId="165" fontId="25" fillId="13" borderId="2" applyAlignment="1" pivotButton="0" quotePrefix="0" xfId="0">
      <alignment horizontal="center" vertical="center"/>
    </xf>
    <xf numFmtId="0" fontId="24" fillId="16" borderId="2" applyAlignment="1" pivotButton="0" quotePrefix="0" xfId="0">
      <alignment horizontal="center" vertical="center"/>
    </xf>
    <xf numFmtId="165" fontId="25" fillId="1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165" fontId="1" fillId="7" borderId="2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7" fillId="20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1" fillId="19" borderId="2" applyAlignment="1" pivotButton="0" quotePrefix="0" xfId="0">
      <alignment horizontal="center" vertical="center"/>
    </xf>
    <xf numFmtId="165" fontId="1" fillId="19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0" fillId="17" borderId="2" applyAlignment="1" pivotButton="0" quotePrefix="0" xfId="0">
      <alignment horizontal="left" vertical="center"/>
    </xf>
    <xf numFmtId="164" fontId="7" fillId="13" borderId="1" applyAlignment="1" pivotButton="0" quotePrefix="0" xfId="0">
      <alignment horizontal="center" vertical="center"/>
    </xf>
    <xf numFmtId="0" fontId="20" fillId="17" borderId="2" applyAlignment="1" pivotButton="0" quotePrefix="0" xfId="0">
      <alignment horizontal="right" vertical="center"/>
    </xf>
    <xf numFmtId="0" fontId="21" fillId="17" borderId="2" applyAlignment="1" pivotButton="0" quotePrefix="0" xfId="0">
      <alignment horizontal="left" vertical="center"/>
    </xf>
    <xf numFmtId="0" fontId="17" fillId="2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165" fontId="9" fillId="13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left" vertical="center"/>
    </xf>
    <xf numFmtId="0" fontId="9" fillId="16" borderId="2" applyAlignment="1" pivotButton="0" quotePrefix="0" xfId="0">
      <alignment horizontal="center" vertical="center"/>
    </xf>
    <xf numFmtId="0" fontId="18" fillId="16" borderId="2" applyAlignment="1" pivotButton="0" quotePrefix="0" xfId="0">
      <alignment horizontal="center" vertical="center"/>
    </xf>
    <xf numFmtId="165" fontId="9" fillId="16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5" fontId="1" fillId="2" borderId="2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165" fontId="22" fillId="13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165" fontId="22" fillId="16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165" fontId="1" fillId="9" borderId="2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center" vertical="center"/>
    </xf>
    <xf numFmtId="0" fontId="24" fillId="13" borderId="2" applyAlignment="1" pivotButton="0" quotePrefix="0" xfId="0">
      <alignment horizontal="center" vertical="center"/>
    </xf>
    <xf numFmtId="165" fontId="25" fillId="13" borderId="2" applyAlignment="1" pivotButton="0" quotePrefix="0" xfId="0">
      <alignment horizontal="center" vertical="center"/>
    </xf>
    <xf numFmtId="0" fontId="24" fillId="16" borderId="2" applyAlignment="1" pivotButton="0" quotePrefix="0" xfId="0">
      <alignment horizontal="center" vertical="center"/>
    </xf>
    <xf numFmtId="165" fontId="25" fillId="1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165" fontId="1" fillId="7" borderId="2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7" fillId="20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1" fillId="19" borderId="2" applyAlignment="1" pivotButton="0" quotePrefix="0" xfId="0">
      <alignment horizontal="center" vertical="center"/>
    </xf>
    <xf numFmtId="165" fontId="1" fillId="19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0" fillId="17" borderId="2" applyAlignment="1" pivotButton="0" quotePrefix="0" xfId="0">
      <alignment horizontal="left" vertical="center"/>
    </xf>
    <xf numFmtId="164" fontId="7" fillId="13" borderId="1" applyAlignment="1" pivotButton="0" quotePrefix="0" xfId="0">
      <alignment horizontal="center" vertical="center"/>
    </xf>
    <xf numFmtId="0" fontId="20" fillId="17" borderId="2" applyAlignment="1" pivotButton="0" quotePrefix="0" xfId="0">
      <alignment horizontal="right" vertical="center"/>
    </xf>
    <xf numFmtId="0" fontId="21" fillId="17" borderId="2" applyAlignment="1" pivotButton="0" quotePrefix="0" xfId="0">
      <alignment horizontal="left" vertical="center"/>
    </xf>
    <xf numFmtId="0" fontId="17" fillId="2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165" fontId="9" fillId="13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left" vertical="center"/>
    </xf>
    <xf numFmtId="0" fontId="9" fillId="16" borderId="2" applyAlignment="1" pivotButton="0" quotePrefix="0" xfId="0">
      <alignment horizontal="center" vertical="center"/>
    </xf>
    <xf numFmtId="0" fontId="18" fillId="16" borderId="2" applyAlignment="1" pivotButton="0" quotePrefix="0" xfId="0">
      <alignment horizontal="center" vertical="center"/>
    </xf>
    <xf numFmtId="165" fontId="9" fillId="16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5" fontId="1" fillId="2" borderId="2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165" fontId="22" fillId="13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165" fontId="22" fillId="16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165" fontId="1" fillId="9" borderId="2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center" vertical="center"/>
    </xf>
    <xf numFmtId="0" fontId="24" fillId="13" borderId="2" applyAlignment="1" pivotButton="0" quotePrefix="0" xfId="0">
      <alignment horizontal="center" vertical="center"/>
    </xf>
    <xf numFmtId="165" fontId="25" fillId="13" borderId="2" applyAlignment="1" pivotButton="0" quotePrefix="0" xfId="0">
      <alignment horizontal="center" vertical="center"/>
    </xf>
    <xf numFmtId="0" fontId="24" fillId="16" borderId="2" applyAlignment="1" pivotButton="0" quotePrefix="0" xfId="0">
      <alignment horizontal="center" vertical="center"/>
    </xf>
    <xf numFmtId="165" fontId="25" fillId="1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165" fontId="1" fillId="7" borderId="2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7" fillId="20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1" fillId="19" borderId="2" applyAlignment="1" pivotButton="0" quotePrefix="0" xfId="0">
      <alignment horizontal="center" vertical="center"/>
    </xf>
    <xf numFmtId="165" fontId="1" fillId="19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0" fillId="17" borderId="2" applyAlignment="1" pivotButton="0" quotePrefix="0" xfId="0">
      <alignment horizontal="left" vertical="center"/>
    </xf>
    <xf numFmtId="164" fontId="7" fillId="13" borderId="1" applyAlignment="1" pivotButton="0" quotePrefix="0" xfId="0">
      <alignment horizontal="center" vertical="center"/>
    </xf>
    <xf numFmtId="0" fontId="20" fillId="17" borderId="2" applyAlignment="1" pivotButton="0" quotePrefix="0" xfId="0">
      <alignment horizontal="right" vertical="center"/>
    </xf>
    <xf numFmtId="0" fontId="21" fillId="17" borderId="2" applyAlignment="1" pivotButton="0" quotePrefix="0" xfId="0">
      <alignment horizontal="left" vertical="center"/>
    </xf>
    <xf numFmtId="0" fontId="17" fillId="2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165" fontId="9" fillId="13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left" vertical="center"/>
    </xf>
    <xf numFmtId="0" fontId="9" fillId="16" borderId="2" applyAlignment="1" pivotButton="0" quotePrefix="0" xfId="0">
      <alignment horizontal="center" vertical="center"/>
    </xf>
    <xf numFmtId="0" fontId="18" fillId="16" borderId="2" applyAlignment="1" pivotButton="0" quotePrefix="0" xfId="0">
      <alignment horizontal="center" vertical="center"/>
    </xf>
    <xf numFmtId="165" fontId="9" fillId="16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5" fontId="1" fillId="2" borderId="2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165" fontId="22" fillId="13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165" fontId="22" fillId="16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165" fontId="1" fillId="9" borderId="2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center" vertical="center"/>
    </xf>
    <xf numFmtId="0" fontId="24" fillId="13" borderId="2" applyAlignment="1" pivotButton="0" quotePrefix="0" xfId="0">
      <alignment horizontal="center" vertical="center"/>
    </xf>
    <xf numFmtId="165" fontId="25" fillId="13" borderId="2" applyAlignment="1" pivotButton="0" quotePrefix="0" xfId="0">
      <alignment horizontal="center" vertical="center"/>
    </xf>
    <xf numFmtId="0" fontId="24" fillId="16" borderId="2" applyAlignment="1" pivotButton="0" quotePrefix="0" xfId="0">
      <alignment horizontal="center" vertical="center"/>
    </xf>
    <xf numFmtId="165" fontId="25" fillId="1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165" fontId="1" fillId="7" borderId="2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7" fillId="20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1" fillId="19" borderId="2" applyAlignment="1" pivotButton="0" quotePrefix="0" xfId="0">
      <alignment horizontal="center" vertical="center"/>
    </xf>
    <xf numFmtId="165" fontId="1" fillId="19" borderId="2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 wrapText="1"/>
    </xf>
    <xf numFmtId="0" fontId="10" fillId="21" borderId="7" applyAlignment="1" pivotButton="0" quotePrefix="0" xfId="0">
      <alignment horizontal="center" vertical="center" wrapText="1"/>
    </xf>
    <xf numFmtId="0" fontId="10" fillId="22" borderId="7" applyAlignment="1" pivotButton="0" quotePrefix="0" xfId="0">
      <alignment horizontal="center" vertical="center" wrapText="1"/>
    </xf>
    <xf numFmtId="0" fontId="10" fillId="23" borderId="7" applyAlignment="1" pivotButton="0" quotePrefix="0" xfId="0">
      <alignment horizontal="center" vertical="center" wrapText="1"/>
    </xf>
    <xf numFmtId="0" fontId="10" fillId="24" borderId="7" applyAlignment="1" pivotButton="0" quotePrefix="0" xfId="0">
      <alignment horizontal="center" vertical="center" wrapText="1"/>
    </xf>
    <xf numFmtId="0" fontId="10" fillId="9" borderId="7" applyAlignment="1" pivotButton="0" quotePrefix="0" xfId="0">
      <alignment horizontal="center" vertical="center" wrapText="1"/>
    </xf>
    <xf numFmtId="0" fontId="10" fillId="25" borderId="7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0" fillId="17" borderId="2" applyAlignment="1" pivotButton="0" quotePrefix="0" xfId="0">
      <alignment horizontal="left" vertical="center"/>
    </xf>
    <xf numFmtId="164" fontId="7" fillId="13" borderId="1" applyAlignment="1" pivotButton="0" quotePrefix="0" xfId="0">
      <alignment horizontal="center" vertical="center"/>
    </xf>
    <xf numFmtId="0" fontId="20" fillId="17" borderId="2" applyAlignment="1" pivotButton="0" quotePrefix="0" xfId="0">
      <alignment horizontal="right" vertical="center"/>
    </xf>
    <xf numFmtId="0" fontId="21" fillId="17" borderId="2" applyAlignment="1" pivotButton="0" quotePrefix="0" xfId="0">
      <alignment horizontal="left" vertical="center"/>
    </xf>
    <xf numFmtId="0" fontId="17" fillId="2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165" fontId="9" fillId="13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left" vertical="center"/>
    </xf>
    <xf numFmtId="0" fontId="9" fillId="16" borderId="2" applyAlignment="1" pivotButton="0" quotePrefix="0" xfId="0">
      <alignment horizontal="center" vertical="center"/>
    </xf>
    <xf numFmtId="0" fontId="18" fillId="16" borderId="2" applyAlignment="1" pivotButton="0" quotePrefix="0" xfId="0">
      <alignment horizontal="center" vertical="center"/>
    </xf>
    <xf numFmtId="165" fontId="9" fillId="16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5" fontId="1" fillId="2" borderId="2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165" fontId="22" fillId="13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165" fontId="22" fillId="16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165" fontId="1" fillId="9" borderId="2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center" vertical="center"/>
    </xf>
    <xf numFmtId="0" fontId="24" fillId="13" borderId="2" applyAlignment="1" pivotButton="0" quotePrefix="0" xfId="0">
      <alignment horizontal="center" vertical="center"/>
    </xf>
    <xf numFmtId="165" fontId="25" fillId="13" borderId="2" applyAlignment="1" pivotButton="0" quotePrefix="0" xfId="0">
      <alignment horizontal="center" vertical="center"/>
    </xf>
    <xf numFmtId="0" fontId="24" fillId="16" borderId="2" applyAlignment="1" pivotButton="0" quotePrefix="0" xfId="0">
      <alignment horizontal="center" vertical="center"/>
    </xf>
    <xf numFmtId="165" fontId="25" fillId="1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165" fontId="1" fillId="7" borderId="2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7" fillId="20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1" fillId="19" borderId="2" applyAlignment="1" pivotButton="0" quotePrefix="0" xfId="0">
      <alignment horizontal="center" vertical="center"/>
    </xf>
    <xf numFmtId="165" fontId="1" fillId="1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744"/>
    <outlinePr summaryBelow="1" summaryRight="1"/>
    <pageSetUpPr/>
  </sheetPr>
  <dimension ref="A1:P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5" customWidth="1" min="1" max="1"/>
    <col width="18" customWidth="1" min="2" max="2"/>
    <col width="10" customWidth="1" min="3" max="3"/>
    <col width="14" customWidth="1" min="4" max="4"/>
    <col width="13" customWidth="1" min="5" max="5"/>
    <col width="16" customWidth="1" min="6" max="6"/>
    <col width="8" customWidth="1" min="7" max="7"/>
    <col width="25" customWidth="1" min="8" max="8"/>
    <col width="14" customWidth="1" min="9" max="9"/>
    <col width="25" customWidth="1" min="10" max="10"/>
    <col width="18" customWidth="1" min="11" max="11"/>
    <col width="18" customWidth="1" min="12" max="12"/>
    <col width="22" customWidth="1" min="13" max="13"/>
    <col width="18" customWidth="1" min="14" max="14"/>
    <col width="8" customWidth="1" min="15" max="15"/>
    <col width="14" customWidth="1" min="16" max="16"/>
  </cols>
  <sheetData>
    <row r="1" ht="28" customHeight="1">
      <c r="A1" s="369" t="inlineStr">
        <is>
          <t>Phone (Normalized)</t>
        </is>
      </c>
      <c r="B1" s="369" t="inlineStr">
        <is>
          <t>Raw Phone (as entered)</t>
        </is>
      </c>
      <c r="C1" s="369" t="inlineStr">
        <is>
          <t>F-Code</t>
        </is>
      </c>
      <c r="D1" s="370" t="inlineStr">
        <is>
          <t>Assigned Member</t>
        </is>
      </c>
      <c r="E1" s="370" t="inlineStr">
        <is>
          <t>Date Added</t>
        </is>
      </c>
      <c r="F1" s="370" t="inlineStr">
        <is>
          <t>Status</t>
        </is>
      </c>
      <c r="G1" s="371" t="inlineStr">
        <is>
          <t>Grade</t>
        </is>
      </c>
      <c r="H1" s="371" t="inlineStr">
        <is>
          <t>Comments</t>
        </is>
      </c>
      <c r="I1" s="372" t="inlineStr">
        <is>
          <t>Campaign / Boost Name</t>
        </is>
      </c>
      <c r="J1" s="372" t="inlineStr">
        <is>
          <t>Repeat Student?</t>
        </is>
      </c>
      <c r="K1" s="373" t="inlineStr">
        <is>
          <t>Duplicate Check</t>
        </is>
      </c>
      <c r="L1" s="373" t="inlineStr">
        <is>
          <t>Previous F-Code (if repeat)</t>
        </is>
      </c>
      <c r="M1" s="374" t="inlineStr">
        <is>
          <t>Second Call Done</t>
        </is>
      </c>
      <c r="N1" s="374" t="inlineStr">
        <is>
          <t>Second Call Notes</t>
        </is>
      </c>
      <c r="O1" s="375" t="inlineStr">
        <is>
          <t>Paid</t>
        </is>
      </c>
      <c r="P1" s="375" t="inlineStr">
        <is>
          <t>Grade (Final / Interested)</t>
        </is>
      </c>
    </row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</sheetData>
  <autoFilter ref="A1:P1"/>
  <dataValidations count="4">
    <dataValidation sqref="F2:F10000" showDropDown="0" showInputMessage="0" showErrorMessage="0" allowBlank="1" type="list">
      <formula1>"New,Contacted,Interested,Converted,No Answer,Not Interested,Follow-up,Second Call Pending"</formula1>
    </dataValidation>
    <dataValidation sqref="I2:I10000" showDropDown="0" showInputMessage="0" showErrorMessage="0" allowBlank="1" type="list">
      <formula1>"Yes,No"</formula1>
    </dataValidation>
    <dataValidation sqref="O2:O10000" showDropDown="0" showInputMessage="0" showErrorMessage="0" allowBlank="1" type="list">
      <formula1>"Yes,No"</formula1>
    </dataValidation>
    <dataValidation sqref="D2:D10000" showDropDown="0" showInputMessage="0" showErrorMessage="0" allowBlank="1" type="list">
      <formula1>Members!$A$2:$A$100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976D2"/>
    <outlinePr summaryBelow="1" summaryRight="1"/>
    <pageSetUpPr/>
  </sheetPr>
  <dimension ref="A1:J11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5" customWidth="1" min="9" max="9"/>
    <col width="16" customWidth="1" min="10" max="10"/>
  </cols>
  <sheetData>
    <row r="1">
      <c r="A1" s="38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</row>
    <row r="2" ht="35" customHeight="1">
      <c r="A2" s="376" t="inlineStr">
        <is>
          <t xml:space="preserve">  CRM LEADS &amp; PERFORMANCE ANALYTICS</t>
        </is>
      </c>
    </row>
    <row r="3" ht="20" customHeight="1">
      <c r="A3" s="377" t="inlineStr">
        <is>
          <t xml:space="preserve">  Real-time team analytics, grade distribution, conversion metrics, unresolved pipelines, and campaign effectiveness.</t>
        </is>
      </c>
    </row>
    <row r="4">
      <c r="A4" s="38" t="n"/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</row>
    <row r="5" ht="26" customHeight="1">
      <c r="A5" s="378" t="inlineStr">
        <is>
          <t xml:space="preserve">  Filter Start Date:</t>
        </is>
      </c>
      <c r="B5" s="379" t="n"/>
      <c r="C5" s="380" t="inlineStr">
        <is>
          <t>End Date:</t>
        </is>
      </c>
      <c r="D5" s="379" t="n"/>
      <c r="E5" s="381" t="inlineStr">
        <is>
          <t>Leave dates blank to view All-Time data. Format: YYYY-MM-DD (e.g. 2026-07-01)</t>
        </is>
      </c>
      <c r="F5" s="79" t="n"/>
      <c r="G5" s="79" t="n"/>
      <c r="H5" s="79" t="n"/>
      <c r="I5" s="79" t="n"/>
      <c r="J5" s="80" t="n"/>
    </row>
    <row r="6">
      <c r="A6" s="38" t="n"/>
      <c r="B6" s="38" t="n"/>
      <c r="C6" s="38" t="n"/>
      <c r="D6" s="38" t="n"/>
      <c r="E6" s="38" t="n"/>
      <c r="F6" s="38" t="n"/>
      <c r="G6" s="38" t="n"/>
      <c r="H6" s="38" t="n"/>
      <c r="I6" s="38" t="n"/>
      <c r="J6" s="38" t="n"/>
    </row>
    <row r="7" ht="24" customHeight="1">
      <c r="A7" s="41" t="inlineStr">
        <is>
          <t>TABLE 1: ALL LEADS BY MEMBER &amp; GRADE</t>
        </is>
      </c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</row>
    <row r="8" ht="24" customHeight="1">
      <c r="A8" s="382" t="inlineStr">
        <is>
          <t>Assigned Member</t>
        </is>
      </c>
      <c r="B8" s="383" t="inlineStr">
        <is>
          <t>Grade 6</t>
        </is>
      </c>
      <c r="C8" s="383" t="inlineStr">
        <is>
          <t>Grade 7</t>
        </is>
      </c>
      <c r="D8" s="383" t="inlineStr">
        <is>
          <t>Grade 8</t>
        </is>
      </c>
      <c r="E8" s="383" t="inlineStr">
        <is>
          <t>Grade 9</t>
        </is>
      </c>
      <c r="F8" s="383" t="inlineStr">
        <is>
          <t>Grade 10</t>
        </is>
      </c>
      <c r="G8" s="383" t="inlineStr">
        <is>
          <t>Grade 11</t>
        </is>
      </c>
      <c r="H8" s="382" t="inlineStr">
        <is>
          <t>Total Leads</t>
        </is>
      </c>
      <c r="I8" s="382" t="inlineStr">
        <is>
          <t>Share %</t>
        </is>
      </c>
      <c r="J8" s="38" t="n"/>
    </row>
    <row r="9" ht="20" customHeight="1">
      <c r="A9" s="384">
        <f>IF(INDEX(Members!$A:$A,2)="","",INDEX(Members!$A:$A,2))</f>
        <v/>
      </c>
      <c r="B9" s="385">
        <f>IF($A9="","",SUMPRODUCT(('Master Leads'!$D:$D=$A9) * (ISNUMBER(SEARCH("6", 'Master Leads'!$G:$G))) * ('Master Leads'!$E:$E&gt;=IF(ISBLANK($B$5),0,$B$5)) * ('Master Leads'!$E:$E&lt;=IF(ISBLANK($D$5),99999,$D$5))))</f>
        <v/>
      </c>
      <c r="C9" s="385">
        <f>IF($A9="","",SUMPRODUCT(('Master Leads'!$D:$D=$A9) * (ISNUMBER(SEARCH("7", 'Master Leads'!$G:$G))) * ('Master Leads'!$E:$E&gt;=IF(ISBLANK($B$5),0,$B$5)) * ('Master Leads'!$E:$E&lt;=IF(ISBLANK($D$5),99999,$D$5))))</f>
        <v/>
      </c>
      <c r="D9" s="385">
        <f>IF($A9="","",SUMPRODUCT(('Master Leads'!$D:$D=$A9) * (ISNUMBER(SEARCH("8", 'Master Leads'!$G:$G))) * ('Master Leads'!$E:$E&gt;=IF(ISBLANK($B$5),0,$B$5)) * ('Master Leads'!$E:$E&lt;=IF(ISBLANK($D$5),99999,$D$5))))</f>
        <v/>
      </c>
      <c r="E9" s="385">
        <f>IF($A9="","",SUMPRODUCT(('Master Leads'!$D:$D=$A9) * (ISNUMBER(SEARCH("9", 'Master Leads'!$G:$G))) * ('Master Leads'!$E:$E&gt;=IF(ISBLANK($B$5),0,$B$5)) * ('Master Leads'!$E:$E&lt;=IF(ISBLANK($D$5),99999,$D$5))))</f>
        <v/>
      </c>
      <c r="F9" s="385">
        <f>IF($A9="","",SUMPRODUCT(('Master Leads'!$D:$D=$A9) * (ISNUMBER(SEARCH("10", 'Master Leads'!$G:$G))) * ('Master Leads'!$E:$E&gt;=IF(ISBLANK($B$5),0,$B$5)) * ('Master Leads'!$E:$E&lt;=IF(ISBLANK($D$5),99999,$D$5))))</f>
        <v/>
      </c>
      <c r="G9" s="385">
        <f>IF($A9="","",SUMPRODUCT(('Master Leads'!$D:$D=$A9) * (ISNUMBER(SEARCH("11", 'Master Leads'!$G:$G))) * ('Master Leads'!$E:$E&gt;=IF(ISBLANK($B$5),0,$B$5)) * ('Master Leads'!$E:$E&lt;=IF(ISBLANK($D$5),99999,$D$5))))</f>
        <v/>
      </c>
      <c r="H9" s="386">
        <f>IF($A9="","",COUNTIFS('Master Leads'!$D:$D,$A9,'Master Leads'!$E:$E,"&gt;="&amp;IF(ISBLANK($B$5),0,$B$5),'Master Leads'!$E:$E,"&lt;="&amp;IF(ISBLANK($D$5),99999,$D$5)))</f>
        <v/>
      </c>
      <c r="I9" s="387">
        <f>IF(OR($A9="",$H$29=0),"",H9/$H$29)</f>
        <v/>
      </c>
      <c r="J9" s="38" t="n"/>
    </row>
    <row r="10" ht="20" customHeight="1">
      <c r="A10" s="388">
        <f>IF(INDEX(Members!$A:$A,3)="","",INDEX(Members!$A:$A,3))</f>
        <v/>
      </c>
      <c r="B10" s="389">
        <f>IF($A10="","",SUMPRODUCT(('Master Leads'!$D:$D=$A10) * (ISNUMBER(SEARCH("6", 'Master Leads'!$G:$G))) * ('Master Leads'!$E:$E&gt;=IF(ISBLANK($B$5),0,$B$5)) * ('Master Leads'!$E:$E&lt;=IF(ISBLANK($D$5),99999,$D$5))))</f>
        <v/>
      </c>
      <c r="C10" s="389">
        <f>IF($A10="","",SUMPRODUCT(('Master Leads'!$D:$D=$A10) * (ISNUMBER(SEARCH("7", 'Master Leads'!$G:$G))) * ('Master Leads'!$E:$E&gt;=IF(ISBLANK($B$5),0,$B$5)) * ('Master Leads'!$E:$E&lt;=IF(ISBLANK($D$5),99999,$D$5))))</f>
        <v/>
      </c>
      <c r="D10" s="389">
        <f>IF($A10="","",SUMPRODUCT(('Master Leads'!$D:$D=$A10) * (ISNUMBER(SEARCH("8", 'Master Leads'!$G:$G))) * ('Master Leads'!$E:$E&gt;=IF(ISBLANK($B$5),0,$B$5)) * ('Master Leads'!$E:$E&lt;=IF(ISBLANK($D$5),99999,$D$5))))</f>
        <v/>
      </c>
      <c r="E10" s="389">
        <f>IF($A10="","",SUMPRODUCT(('Master Leads'!$D:$D=$A10) * (ISNUMBER(SEARCH("9", 'Master Leads'!$G:$G))) * ('Master Leads'!$E:$E&gt;=IF(ISBLANK($B$5),0,$B$5)) * ('Master Leads'!$E:$E&lt;=IF(ISBLANK($D$5),99999,$D$5))))</f>
        <v/>
      </c>
      <c r="F10" s="389">
        <f>IF($A10="","",SUMPRODUCT(('Master Leads'!$D:$D=$A10) * (ISNUMBER(SEARCH("10", 'Master Leads'!$G:$G))) * ('Master Leads'!$E:$E&gt;=IF(ISBLANK($B$5),0,$B$5)) * ('Master Leads'!$E:$E&lt;=IF(ISBLANK($D$5),99999,$D$5))))</f>
        <v/>
      </c>
      <c r="G10" s="389">
        <f>IF($A10="","",SUMPRODUCT(('Master Leads'!$D:$D=$A10) * (ISNUMBER(SEARCH("11", 'Master Leads'!$G:$G))) * ('Master Leads'!$E:$E&gt;=IF(ISBLANK($B$5),0,$B$5)) * ('Master Leads'!$E:$E&lt;=IF(ISBLANK($D$5),99999,$D$5))))</f>
        <v/>
      </c>
      <c r="H10" s="390">
        <f>IF($A10="","",COUNTIFS('Master Leads'!$D:$D,$A10,'Master Leads'!$E:$E,"&gt;="&amp;IF(ISBLANK($B$5),0,$B$5),'Master Leads'!$E:$E,"&lt;="&amp;IF(ISBLANK($D$5),99999,$D$5)))</f>
        <v/>
      </c>
      <c r="I10" s="391">
        <f>IF(OR($A10="",$H$29=0),"",H10/$H$29)</f>
        <v/>
      </c>
      <c r="J10" s="38" t="n"/>
    </row>
    <row r="11" ht="20" customHeight="1">
      <c r="A11" s="384">
        <f>IF(INDEX(Members!$A:$A,4)="","",INDEX(Members!$A:$A,4))</f>
        <v/>
      </c>
      <c r="B11" s="385">
        <f>IF($A11="","",SUMPRODUCT(('Master Leads'!$D:$D=$A11) * (ISNUMBER(SEARCH("6", 'Master Leads'!$G:$G))) * ('Master Leads'!$E:$E&gt;=IF(ISBLANK($B$5),0,$B$5)) * ('Master Leads'!$E:$E&lt;=IF(ISBLANK($D$5),99999,$D$5))))</f>
        <v/>
      </c>
      <c r="C11" s="385">
        <f>IF($A11="","",SUMPRODUCT(('Master Leads'!$D:$D=$A11) * (ISNUMBER(SEARCH("7", 'Master Leads'!$G:$G))) * ('Master Leads'!$E:$E&gt;=IF(ISBLANK($B$5),0,$B$5)) * ('Master Leads'!$E:$E&lt;=IF(ISBLANK($D$5),99999,$D$5))))</f>
        <v/>
      </c>
      <c r="D11" s="385">
        <f>IF($A11="","",SUMPRODUCT(('Master Leads'!$D:$D=$A11) * (ISNUMBER(SEARCH("8", 'Master Leads'!$G:$G))) * ('Master Leads'!$E:$E&gt;=IF(ISBLANK($B$5),0,$B$5)) * ('Master Leads'!$E:$E&lt;=IF(ISBLANK($D$5),99999,$D$5))))</f>
        <v/>
      </c>
      <c r="E11" s="385">
        <f>IF($A11="","",SUMPRODUCT(('Master Leads'!$D:$D=$A11) * (ISNUMBER(SEARCH("9", 'Master Leads'!$G:$G))) * ('Master Leads'!$E:$E&gt;=IF(ISBLANK($B$5),0,$B$5)) * ('Master Leads'!$E:$E&lt;=IF(ISBLANK($D$5),99999,$D$5))))</f>
        <v/>
      </c>
      <c r="F11" s="385">
        <f>IF($A11="","",SUMPRODUCT(('Master Leads'!$D:$D=$A11) * (ISNUMBER(SEARCH("10", 'Master Leads'!$G:$G))) * ('Master Leads'!$E:$E&gt;=IF(ISBLANK($B$5),0,$B$5)) * ('Master Leads'!$E:$E&lt;=IF(ISBLANK($D$5),99999,$D$5))))</f>
        <v/>
      </c>
      <c r="G11" s="385">
        <f>IF($A11="","",SUMPRODUCT(('Master Leads'!$D:$D=$A11) * (ISNUMBER(SEARCH("11", 'Master Leads'!$G:$G))) * ('Master Leads'!$E:$E&gt;=IF(ISBLANK($B$5),0,$B$5)) * ('Master Leads'!$E:$E&lt;=IF(ISBLANK($D$5),99999,$D$5))))</f>
        <v/>
      </c>
      <c r="H11" s="386">
        <f>IF($A11="","",COUNTIFS('Master Leads'!$D:$D,$A11,'Master Leads'!$E:$E,"&gt;="&amp;IF(ISBLANK($B$5),0,$B$5),'Master Leads'!$E:$E,"&lt;="&amp;IF(ISBLANK($D$5),99999,$D$5)))</f>
        <v/>
      </c>
      <c r="I11" s="387">
        <f>IF(OR($A11="",$H$29=0),"",H11/$H$29)</f>
        <v/>
      </c>
      <c r="J11" s="38" t="n"/>
    </row>
    <row r="12" ht="20" customHeight="1">
      <c r="A12" s="388">
        <f>IF(INDEX(Members!$A:$A,5)="","",INDEX(Members!$A:$A,5))</f>
        <v/>
      </c>
      <c r="B12" s="389">
        <f>IF($A12="","",SUMPRODUCT(('Master Leads'!$D:$D=$A12) * (ISNUMBER(SEARCH("6", 'Master Leads'!$G:$G))) * ('Master Leads'!$E:$E&gt;=IF(ISBLANK($B$5),0,$B$5)) * ('Master Leads'!$E:$E&lt;=IF(ISBLANK($D$5),99999,$D$5))))</f>
        <v/>
      </c>
      <c r="C12" s="389">
        <f>IF($A12="","",SUMPRODUCT(('Master Leads'!$D:$D=$A12) * (ISNUMBER(SEARCH("7", 'Master Leads'!$G:$G))) * ('Master Leads'!$E:$E&gt;=IF(ISBLANK($B$5),0,$B$5)) * ('Master Leads'!$E:$E&lt;=IF(ISBLANK($D$5),99999,$D$5))))</f>
        <v/>
      </c>
      <c r="D12" s="389">
        <f>IF($A12="","",SUMPRODUCT(('Master Leads'!$D:$D=$A12) * (ISNUMBER(SEARCH("8", 'Master Leads'!$G:$G))) * ('Master Leads'!$E:$E&gt;=IF(ISBLANK($B$5),0,$B$5)) * ('Master Leads'!$E:$E&lt;=IF(ISBLANK($D$5),99999,$D$5))))</f>
        <v/>
      </c>
      <c r="E12" s="389">
        <f>IF($A12="","",SUMPRODUCT(('Master Leads'!$D:$D=$A12) * (ISNUMBER(SEARCH("9", 'Master Leads'!$G:$G))) * ('Master Leads'!$E:$E&gt;=IF(ISBLANK($B$5),0,$B$5)) * ('Master Leads'!$E:$E&lt;=IF(ISBLANK($D$5),99999,$D$5))))</f>
        <v/>
      </c>
      <c r="F12" s="389">
        <f>IF($A12="","",SUMPRODUCT(('Master Leads'!$D:$D=$A12) * (ISNUMBER(SEARCH("10", 'Master Leads'!$G:$G))) * ('Master Leads'!$E:$E&gt;=IF(ISBLANK($B$5),0,$B$5)) * ('Master Leads'!$E:$E&lt;=IF(ISBLANK($D$5),99999,$D$5))))</f>
        <v/>
      </c>
      <c r="G12" s="389">
        <f>IF($A12="","",SUMPRODUCT(('Master Leads'!$D:$D=$A12) * (ISNUMBER(SEARCH("11", 'Master Leads'!$G:$G))) * ('Master Leads'!$E:$E&gt;=IF(ISBLANK($B$5),0,$B$5)) * ('Master Leads'!$E:$E&lt;=IF(ISBLANK($D$5),99999,$D$5))))</f>
        <v/>
      </c>
      <c r="H12" s="390">
        <f>IF($A12="","",COUNTIFS('Master Leads'!$D:$D,$A12,'Master Leads'!$E:$E,"&gt;="&amp;IF(ISBLANK($B$5),0,$B$5),'Master Leads'!$E:$E,"&lt;="&amp;IF(ISBLANK($D$5),99999,$D$5)))</f>
        <v/>
      </c>
      <c r="I12" s="391">
        <f>IF(OR($A12="",$H$29=0),"",H12/$H$29)</f>
        <v/>
      </c>
      <c r="J12" s="38" t="n"/>
    </row>
    <row r="13" ht="20" customHeight="1">
      <c r="A13" s="384">
        <f>IF(INDEX(Members!$A:$A,6)="","",INDEX(Members!$A:$A,6))</f>
        <v/>
      </c>
      <c r="B13" s="385">
        <f>IF($A13="","",SUMPRODUCT(('Master Leads'!$D:$D=$A13) * (ISNUMBER(SEARCH("6", 'Master Leads'!$G:$G))) * ('Master Leads'!$E:$E&gt;=IF(ISBLANK($B$5),0,$B$5)) * ('Master Leads'!$E:$E&lt;=IF(ISBLANK($D$5),99999,$D$5))))</f>
        <v/>
      </c>
      <c r="C13" s="385">
        <f>IF($A13="","",SUMPRODUCT(('Master Leads'!$D:$D=$A13) * (ISNUMBER(SEARCH("7", 'Master Leads'!$G:$G))) * ('Master Leads'!$E:$E&gt;=IF(ISBLANK($B$5),0,$B$5)) * ('Master Leads'!$E:$E&lt;=IF(ISBLANK($D$5),99999,$D$5))))</f>
        <v/>
      </c>
      <c r="D13" s="385">
        <f>IF($A13="","",SUMPRODUCT(('Master Leads'!$D:$D=$A13) * (ISNUMBER(SEARCH("8", 'Master Leads'!$G:$G))) * ('Master Leads'!$E:$E&gt;=IF(ISBLANK($B$5),0,$B$5)) * ('Master Leads'!$E:$E&lt;=IF(ISBLANK($D$5),99999,$D$5))))</f>
        <v/>
      </c>
      <c r="E13" s="385">
        <f>IF($A13="","",SUMPRODUCT(('Master Leads'!$D:$D=$A13) * (ISNUMBER(SEARCH("9", 'Master Leads'!$G:$G))) * ('Master Leads'!$E:$E&gt;=IF(ISBLANK($B$5),0,$B$5)) * ('Master Leads'!$E:$E&lt;=IF(ISBLANK($D$5),99999,$D$5))))</f>
        <v/>
      </c>
      <c r="F13" s="385">
        <f>IF($A13="","",SUMPRODUCT(('Master Leads'!$D:$D=$A13) * (ISNUMBER(SEARCH("10", 'Master Leads'!$G:$G))) * ('Master Leads'!$E:$E&gt;=IF(ISBLANK($B$5),0,$B$5)) * ('Master Leads'!$E:$E&lt;=IF(ISBLANK($D$5),99999,$D$5))))</f>
        <v/>
      </c>
      <c r="G13" s="385">
        <f>IF($A13="","",SUMPRODUCT(('Master Leads'!$D:$D=$A13) * (ISNUMBER(SEARCH("11", 'Master Leads'!$G:$G))) * ('Master Leads'!$E:$E&gt;=IF(ISBLANK($B$5),0,$B$5)) * ('Master Leads'!$E:$E&lt;=IF(ISBLANK($D$5),99999,$D$5))))</f>
        <v/>
      </c>
      <c r="H13" s="386">
        <f>IF($A13="","",COUNTIFS('Master Leads'!$D:$D,$A13,'Master Leads'!$E:$E,"&gt;="&amp;IF(ISBLANK($B$5),0,$B$5),'Master Leads'!$E:$E,"&lt;="&amp;IF(ISBLANK($D$5),99999,$D$5)))</f>
        <v/>
      </c>
      <c r="I13" s="387">
        <f>IF(OR($A13="",$H$29=0),"",H13/$H$29)</f>
        <v/>
      </c>
      <c r="J13" s="38" t="n"/>
    </row>
    <row r="14" ht="20" customHeight="1">
      <c r="A14" s="388">
        <f>IF(INDEX(Members!$A:$A,7)="","",INDEX(Members!$A:$A,7))</f>
        <v/>
      </c>
      <c r="B14" s="389">
        <f>IF($A14="","",SUMPRODUCT(('Master Leads'!$D:$D=$A14) * (ISNUMBER(SEARCH("6", 'Master Leads'!$G:$G))) * ('Master Leads'!$E:$E&gt;=IF(ISBLANK($B$5),0,$B$5)) * ('Master Leads'!$E:$E&lt;=IF(ISBLANK($D$5),99999,$D$5))))</f>
        <v/>
      </c>
      <c r="C14" s="389">
        <f>IF($A14="","",SUMPRODUCT(('Master Leads'!$D:$D=$A14) * (ISNUMBER(SEARCH("7", 'Master Leads'!$G:$G))) * ('Master Leads'!$E:$E&gt;=IF(ISBLANK($B$5),0,$B$5)) * ('Master Leads'!$E:$E&lt;=IF(ISBLANK($D$5),99999,$D$5))))</f>
        <v/>
      </c>
      <c r="D14" s="389">
        <f>IF($A14="","",SUMPRODUCT(('Master Leads'!$D:$D=$A14) * (ISNUMBER(SEARCH("8", 'Master Leads'!$G:$G))) * ('Master Leads'!$E:$E&gt;=IF(ISBLANK($B$5),0,$B$5)) * ('Master Leads'!$E:$E&lt;=IF(ISBLANK($D$5),99999,$D$5))))</f>
        <v/>
      </c>
      <c r="E14" s="389">
        <f>IF($A14="","",SUMPRODUCT(('Master Leads'!$D:$D=$A14) * (ISNUMBER(SEARCH("9", 'Master Leads'!$G:$G))) * ('Master Leads'!$E:$E&gt;=IF(ISBLANK($B$5),0,$B$5)) * ('Master Leads'!$E:$E&lt;=IF(ISBLANK($D$5),99999,$D$5))))</f>
        <v/>
      </c>
      <c r="F14" s="389">
        <f>IF($A14="","",SUMPRODUCT(('Master Leads'!$D:$D=$A14) * (ISNUMBER(SEARCH("10", 'Master Leads'!$G:$G))) * ('Master Leads'!$E:$E&gt;=IF(ISBLANK($B$5),0,$B$5)) * ('Master Leads'!$E:$E&lt;=IF(ISBLANK($D$5),99999,$D$5))))</f>
        <v/>
      </c>
      <c r="G14" s="389">
        <f>IF($A14="","",SUMPRODUCT(('Master Leads'!$D:$D=$A14) * (ISNUMBER(SEARCH("11", 'Master Leads'!$G:$G))) * ('Master Leads'!$E:$E&gt;=IF(ISBLANK($B$5),0,$B$5)) * ('Master Leads'!$E:$E&lt;=IF(ISBLANK($D$5),99999,$D$5))))</f>
        <v/>
      </c>
      <c r="H14" s="390">
        <f>IF($A14="","",COUNTIFS('Master Leads'!$D:$D,$A14,'Master Leads'!$E:$E,"&gt;="&amp;IF(ISBLANK($B$5),0,$B$5),'Master Leads'!$E:$E,"&lt;="&amp;IF(ISBLANK($D$5),99999,$D$5)))</f>
        <v/>
      </c>
      <c r="I14" s="391">
        <f>IF(OR($A14="",$H$29=0),"",H14/$H$29)</f>
        <v/>
      </c>
      <c r="J14" s="38" t="n"/>
    </row>
    <row r="15" ht="20" customHeight="1">
      <c r="A15" s="384">
        <f>IF(INDEX(Members!$A:$A,8)="","",INDEX(Members!$A:$A,8))</f>
        <v/>
      </c>
      <c r="B15" s="385">
        <f>IF($A15="","",SUMPRODUCT(('Master Leads'!$D:$D=$A15) * (ISNUMBER(SEARCH("6", 'Master Leads'!$G:$G))) * ('Master Leads'!$E:$E&gt;=IF(ISBLANK($B$5),0,$B$5)) * ('Master Leads'!$E:$E&lt;=IF(ISBLANK($D$5),99999,$D$5))))</f>
        <v/>
      </c>
      <c r="C15" s="385">
        <f>IF($A15="","",SUMPRODUCT(('Master Leads'!$D:$D=$A15) * (ISNUMBER(SEARCH("7", 'Master Leads'!$G:$G))) * ('Master Leads'!$E:$E&gt;=IF(ISBLANK($B$5),0,$B$5)) * ('Master Leads'!$E:$E&lt;=IF(ISBLANK($D$5),99999,$D$5))))</f>
        <v/>
      </c>
      <c r="D15" s="385">
        <f>IF($A15="","",SUMPRODUCT(('Master Leads'!$D:$D=$A15) * (ISNUMBER(SEARCH("8", 'Master Leads'!$G:$G))) * ('Master Leads'!$E:$E&gt;=IF(ISBLANK($B$5),0,$B$5)) * ('Master Leads'!$E:$E&lt;=IF(ISBLANK($D$5),99999,$D$5))))</f>
        <v/>
      </c>
      <c r="E15" s="385">
        <f>IF($A15="","",SUMPRODUCT(('Master Leads'!$D:$D=$A15) * (ISNUMBER(SEARCH("9", 'Master Leads'!$G:$G))) * ('Master Leads'!$E:$E&gt;=IF(ISBLANK($B$5),0,$B$5)) * ('Master Leads'!$E:$E&lt;=IF(ISBLANK($D$5),99999,$D$5))))</f>
        <v/>
      </c>
      <c r="F15" s="385">
        <f>IF($A15="","",SUMPRODUCT(('Master Leads'!$D:$D=$A15) * (ISNUMBER(SEARCH("10", 'Master Leads'!$G:$G))) * ('Master Leads'!$E:$E&gt;=IF(ISBLANK($B$5),0,$B$5)) * ('Master Leads'!$E:$E&lt;=IF(ISBLANK($D$5),99999,$D$5))))</f>
        <v/>
      </c>
      <c r="G15" s="385">
        <f>IF($A15="","",SUMPRODUCT(('Master Leads'!$D:$D=$A15) * (ISNUMBER(SEARCH("11", 'Master Leads'!$G:$G))) * ('Master Leads'!$E:$E&gt;=IF(ISBLANK($B$5),0,$B$5)) * ('Master Leads'!$E:$E&lt;=IF(ISBLANK($D$5),99999,$D$5))))</f>
        <v/>
      </c>
      <c r="H15" s="386">
        <f>IF($A15="","",COUNTIFS('Master Leads'!$D:$D,$A15,'Master Leads'!$E:$E,"&gt;="&amp;IF(ISBLANK($B$5),0,$B$5),'Master Leads'!$E:$E,"&lt;="&amp;IF(ISBLANK($D$5),99999,$D$5)))</f>
        <v/>
      </c>
      <c r="I15" s="387">
        <f>IF(OR($A15="",$H$29=0),"",H15/$H$29)</f>
        <v/>
      </c>
      <c r="J15" s="38" t="n"/>
    </row>
    <row r="16" ht="20" customHeight="1">
      <c r="A16" s="388">
        <f>IF(INDEX(Members!$A:$A,9)="","",INDEX(Members!$A:$A,9))</f>
        <v/>
      </c>
      <c r="B16" s="389">
        <f>IF($A16="","",SUMPRODUCT(('Master Leads'!$D:$D=$A16) * (ISNUMBER(SEARCH("6", 'Master Leads'!$G:$G))) * ('Master Leads'!$E:$E&gt;=IF(ISBLANK($B$5),0,$B$5)) * ('Master Leads'!$E:$E&lt;=IF(ISBLANK($D$5),99999,$D$5))))</f>
        <v/>
      </c>
      <c r="C16" s="389">
        <f>IF($A16="","",SUMPRODUCT(('Master Leads'!$D:$D=$A16) * (ISNUMBER(SEARCH("7", 'Master Leads'!$G:$G))) * ('Master Leads'!$E:$E&gt;=IF(ISBLANK($B$5),0,$B$5)) * ('Master Leads'!$E:$E&lt;=IF(ISBLANK($D$5),99999,$D$5))))</f>
        <v/>
      </c>
      <c r="D16" s="389">
        <f>IF($A16="","",SUMPRODUCT(('Master Leads'!$D:$D=$A16) * (ISNUMBER(SEARCH("8", 'Master Leads'!$G:$G))) * ('Master Leads'!$E:$E&gt;=IF(ISBLANK($B$5),0,$B$5)) * ('Master Leads'!$E:$E&lt;=IF(ISBLANK($D$5),99999,$D$5))))</f>
        <v/>
      </c>
      <c r="E16" s="389">
        <f>IF($A16="","",SUMPRODUCT(('Master Leads'!$D:$D=$A16) * (ISNUMBER(SEARCH("9", 'Master Leads'!$G:$G))) * ('Master Leads'!$E:$E&gt;=IF(ISBLANK($B$5),0,$B$5)) * ('Master Leads'!$E:$E&lt;=IF(ISBLANK($D$5),99999,$D$5))))</f>
        <v/>
      </c>
      <c r="F16" s="389">
        <f>IF($A16="","",SUMPRODUCT(('Master Leads'!$D:$D=$A16) * (ISNUMBER(SEARCH("10", 'Master Leads'!$G:$G))) * ('Master Leads'!$E:$E&gt;=IF(ISBLANK($B$5),0,$B$5)) * ('Master Leads'!$E:$E&lt;=IF(ISBLANK($D$5),99999,$D$5))))</f>
        <v/>
      </c>
      <c r="G16" s="389">
        <f>IF($A16="","",SUMPRODUCT(('Master Leads'!$D:$D=$A16) * (ISNUMBER(SEARCH("11", 'Master Leads'!$G:$G))) * ('Master Leads'!$E:$E&gt;=IF(ISBLANK($B$5),0,$B$5)) * ('Master Leads'!$E:$E&lt;=IF(ISBLANK($D$5),99999,$D$5))))</f>
        <v/>
      </c>
      <c r="H16" s="390">
        <f>IF($A16="","",COUNTIFS('Master Leads'!$D:$D,$A16,'Master Leads'!$E:$E,"&gt;="&amp;IF(ISBLANK($B$5),0,$B$5),'Master Leads'!$E:$E,"&lt;="&amp;IF(ISBLANK($D$5),99999,$D$5)))</f>
        <v/>
      </c>
      <c r="I16" s="391">
        <f>IF(OR($A16="",$H$29=0),"",H16/$H$29)</f>
        <v/>
      </c>
      <c r="J16" s="38" t="n"/>
    </row>
    <row r="17" ht="20" customHeight="1">
      <c r="A17" s="384">
        <f>IF(INDEX(Members!$A:$A,10)="","",INDEX(Members!$A:$A,10))</f>
        <v/>
      </c>
      <c r="B17" s="385">
        <f>IF($A17="","",SUMPRODUCT(('Master Leads'!$D:$D=$A17) * (ISNUMBER(SEARCH("6", 'Master Leads'!$G:$G))) * ('Master Leads'!$E:$E&gt;=IF(ISBLANK($B$5),0,$B$5)) * ('Master Leads'!$E:$E&lt;=IF(ISBLANK($D$5),99999,$D$5))))</f>
        <v/>
      </c>
      <c r="C17" s="385">
        <f>IF($A17="","",SUMPRODUCT(('Master Leads'!$D:$D=$A17) * (ISNUMBER(SEARCH("7", 'Master Leads'!$G:$G))) * ('Master Leads'!$E:$E&gt;=IF(ISBLANK($B$5),0,$B$5)) * ('Master Leads'!$E:$E&lt;=IF(ISBLANK($D$5),99999,$D$5))))</f>
        <v/>
      </c>
      <c r="D17" s="385">
        <f>IF($A17="","",SUMPRODUCT(('Master Leads'!$D:$D=$A17) * (ISNUMBER(SEARCH("8", 'Master Leads'!$G:$G))) * ('Master Leads'!$E:$E&gt;=IF(ISBLANK($B$5),0,$B$5)) * ('Master Leads'!$E:$E&lt;=IF(ISBLANK($D$5),99999,$D$5))))</f>
        <v/>
      </c>
      <c r="E17" s="385">
        <f>IF($A17="","",SUMPRODUCT(('Master Leads'!$D:$D=$A17) * (ISNUMBER(SEARCH("9", 'Master Leads'!$G:$G))) * ('Master Leads'!$E:$E&gt;=IF(ISBLANK($B$5),0,$B$5)) * ('Master Leads'!$E:$E&lt;=IF(ISBLANK($D$5),99999,$D$5))))</f>
        <v/>
      </c>
      <c r="F17" s="385">
        <f>IF($A17="","",SUMPRODUCT(('Master Leads'!$D:$D=$A17) * (ISNUMBER(SEARCH("10", 'Master Leads'!$G:$G))) * ('Master Leads'!$E:$E&gt;=IF(ISBLANK($B$5),0,$B$5)) * ('Master Leads'!$E:$E&lt;=IF(ISBLANK($D$5),99999,$D$5))))</f>
        <v/>
      </c>
      <c r="G17" s="385">
        <f>IF($A17="","",SUMPRODUCT(('Master Leads'!$D:$D=$A17) * (ISNUMBER(SEARCH("11", 'Master Leads'!$G:$G))) * ('Master Leads'!$E:$E&gt;=IF(ISBLANK($B$5),0,$B$5)) * ('Master Leads'!$E:$E&lt;=IF(ISBLANK($D$5),99999,$D$5))))</f>
        <v/>
      </c>
      <c r="H17" s="386">
        <f>IF($A17="","",COUNTIFS('Master Leads'!$D:$D,$A17,'Master Leads'!$E:$E,"&gt;="&amp;IF(ISBLANK($B$5),0,$B$5),'Master Leads'!$E:$E,"&lt;="&amp;IF(ISBLANK($D$5),99999,$D$5)))</f>
        <v/>
      </c>
      <c r="I17" s="387">
        <f>IF(OR($A17="",$H$29=0),"",H17/$H$29)</f>
        <v/>
      </c>
      <c r="J17" s="38" t="n"/>
    </row>
    <row r="18" ht="20" customHeight="1">
      <c r="A18" s="388">
        <f>IF(INDEX(Members!$A:$A,11)="","",INDEX(Members!$A:$A,11))</f>
        <v/>
      </c>
      <c r="B18" s="389">
        <f>IF($A18="","",SUMPRODUCT(('Master Leads'!$D:$D=$A18) * (ISNUMBER(SEARCH("6", 'Master Leads'!$G:$G))) * ('Master Leads'!$E:$E&gt;=IF(ISBLANK($B$5),0,$B$5)) * ('Master Leads'!$E:$E&lt;=IF(ISBLANK($D$5),99999,$D$5))))</f>
        <v/>
      </c>
      <c r="C18" s="389">
        <f>IF($A18="","",SUMPRODUCT(('Master Leads'!$D:$D=$A18) * (ISNUMBER(SEARCH("7", 'Master Leads'!$G:$G))) * ('Master Leads'!$E:$E&gt;=IF(ISBLANK($B$5),0,$B$5)) * ('Master Leads'!$E:$E&lt;=IF(ISBLANK($D$5),99999,$D$5))))</f>
        <v/>
      </c>
      <c r="D18" s="389">
        <f>IF($A18="","",SUMPRODUCT(('Master Leads'!$D:$D=$A18) * (ISNUMBER(SEARCH("8", 'Master Leads'!$G:$G))) * ('Master Leads'!$E:$E&gt;=IF(ISBLANK($B$5),0,$B$5)) * ('Master Leads'!$E:$E&lt;=IF(ISBLANK($D$5),99999,$D$5))))</f>
        <v/>
      </c>
      <c r="E18" s="389">
        <f>IF($A18="","",SUMPRODUCT(('Master Leads'!$D:$D=$A18) * (ISNUMBER(SEARCH("9", 'Master Leads'!$G:$G))) * ('Master Leads'!$E:$E&gt;=IF(ISBLANK($B$5),0,$B$5)) * ('Master Leads'!$E:$E&lt;=IF(ISBLANK($D$5),99999,$D$5))))</f>
        <v/>
      </c>
      <c r="F18" s="389">
        <f>IF($A18="","",SUMPRODUCT(('Master Leads'!$D:$D=$A18) * (ISNUMBER(SEARCH("10", 'Master Leads'!$G:$G))) * ('Master Leads'!$E:$E&gt;=IF(ISBLANK($B$5),0,$B$5)) * ('Master Leads'!$E:$E&lt;=IF(ISBLANK($D$5),99999,$D$5))))</f>
        <v/>
      </c>
      <c r="G18" s="389">
        <f>IF($A18="","",SUMPRODUCT(('Master Leads'!$D:$D=$A18) * (ISNUMBER(SEARCH("11", 'Master Leads'!$G:$G))) * ('Master Leads'!$E:$E&gt;=IF(ISBLANK($B$5),0,$B$5)) * ('Master Leads'!$E:$E&lt;=IF(ISBLANK($D$5),99999,$D$5))))</f>
        <v/>
      </c>
      <c r="H18" s="390">
        <f>IF($A18="","",COUNTIFS('Master Leads'!$D:$D,$A18,'Master Leads'!$E:$E,"&gt;="&amp;IF(ISBLANK($B$5),0,$B$5),'Master Leads'!$E:$E,"&lt;="&amp;IF(ISBLANK($D$5),99999,$D$5)))</f>
        <v/>
      </c>
      <c r="I18" s="391">
        <f>IF(OR($A18="",$H$29=0),"",H18/$H$29)</f>
        <v/>
      </c>
      <c r="J18" s="38" t="n"/>
    </row>
    <row r="19" ht="20" customHeight="1">
      <c r="A19" s="384">
        <f>IF(INDEX(Members!$A:$A,12)="","",INDEX(Members!$A:$A,12))</f>
        <v/>
      </c>
      <c r="B19" s="385">
        <f>IF($A19="","",SUMPRODUCT(('Master Leads'!$D:$D=$A19) * (ISNUMBER(SEARCH("6", 'Master Leads'!$G:$G))) * ('Master Leads'!$E:$E&gt;=IF(ISBLANK($B$5),0,$B$5)) * ('Master Leads'!$E:$E&lt;=IF(ISBLANK($D$5),99999,$D$5))))</f>
        <v/>
      </c>
      <c r="C19" s="385">
        <f>IF($A19="","",SUMPRODUCT(('Master Leads'!$D:$D=$A19) * (ISNUMBER(SEARCH("7", 'Master Leads'!$G:$G))) * ('Master Leads'!$E:$E&gt;=IF(ISBLANK($B$5),0,$B$5)) * ('Master Leads'!$E:$E&lt;=IF(ISBLANK($D$5),99999,$D$5))))</f>
        <v/>
      </c>
      <c r="D19" s="385">
        <f>IF($A19="","",SUMPRODUCT(('Master Leads'!$D:$D=$A19) * (ISNUMBER(SEARCH("8", 'Master Leads'!$G:$G))) * ('Master Leads'!$E:$E&gt;=IF(ISBLANK($B$5),0,$B$5)) * ('Master Leads'!$E:$E&lt;=IF(ISBLANK($D$5),99999,$D$5))))</f>
        <v/>
      </c>
      <c r="E19" s="385">
        <f>IF($A19="","",SUMPRODUCT(('Master Leads'!$D:$D=$A19) * (ISNUMBER(SEARCH("9", 'Master Leads'!$G:$G))) * ('Master Leads'!$E:$E&gt;=IF(ISBLANK($B$5),0,$B$5)) * ('Master Leads'!$E:$E&lt;=IF(ISBLANK($D$5),99999,$D$5))))</f>
        <v/>
      </c>
      <c r="F19" s="385">
        <f>IF($A19="","",SUMPRODUCT(('Master Leads'!$D:$D=$A19) * (ISNUMBER(SEARCH("10", 'Master Leads'!$G:$G))) * ('Master Leads'!$E:$E&gt;=IF(ISBLANK($B$5),0,$B$5)) * ('Master Leads'!$E:$E&lt;=IF(ISBLANK($D$5),99999,$D$5))))</f>
        <v/>
      </c>
      <c r="G19" s="385">
        <f>IF($A19="","",SUMPRODUCT(('Master Leads'!$D:$D=$A19) * (ISNUMBER(SEARCH("11", 'Master Leads'!$G:$G))) * ('Master Leads'!$E:$E&gt;=IF(ISBLANK($B$5),0,$B$5)) * ('Master Leads'!$E:$E&lt;=IF(ISBLANK($D$5),99999,$D$5))))</f>
        <v/>
      </c>
      <c r="H19" s="386">
        <f>IF($A19="","",COUNTIFS('Master Leads'!$D:$D,$A19,'Master Leads'!$E:$E,"&gt;="&amp;IF(ISBLANK($B$5),0,$B$5),'Master Leads'!$E:$E,"&lt;="&amp;IF(ISBLANK($D$5),99999,$D$5)))</f>
        <v/>
      </c>
      <c r="I19" s="387">
        <f>IF(OR($A19="",$H$29=0),"",H19/$H$29)</f>
        <v/>
      </c>
      <c r="J19" s="38" t="n"/>
    </row>
    <row r="20" ht="20" customHeight="1">
      <c r="A20" s="388">
        <f>IF(INDEX(Members!$A:$A,13)="","",INDEX(Members!$A:$A,13))</f>
        <v/>
      </c>
      <c r="B20" s="389">
        <f>IF($A20="","",SUMPRODUCT(('Master Leads'!$D:$D=$A20) * (ISNUMBER(SEARCH("6", 'Master Leads'!$G:$G))) * ('Master Leads'!$E:$E&gt;=IF(ISBLANK($B$5),0,$B$5)) * ('Master Leads'!$E:$E&lt;=IF(ISBLANK($D$5),99999,$D$5))))</f>
        <v/>
      </c>
      <c r="C20" s="389">
        <f>IF($A20="","",SUMPRODUCT(('Master Leads'!$D:$D=$A20) * (ISNUMBER(SEARCH("7", 'Master Leads'!$G:$G))) * ('Master Leads'!$E:$E&gt;=IF(ISBLANK($B$5),0,$B$5)) * ('Master Leads'!$E:$E&lt;=IF(ISBLANK($D$5),99999,$D$5))))</f>
        <v/>
      </c>
      <c r="D20" s="389">
        <f>IF($A20="","",SUMPRODUCT(('Master Leads'!$D:$D=$A20) * (ISNUMBER(SEARCH("8", 'Master Leads'!$G:$G))) * ('Master Leads'!$E:$E&gt;=IF(ISBLANK($B$5),0,$B$5)) * ('Master Leads'!$E:$E&lt;=IF(ISBLANK($D$5),99999,$D$5))))</f>
        <v/>
      </c>
      <c r="E20" s="389">
        <f>IF($A20="","",SUMPRODUCT(('Master Leads'!$D:$D=$A20) * (ISNUMBER(SEARCH("9", 'Master Leads'!$G:$G))) * ('Master Leads'!$E:$E&gt;=IF(ISBLANK($B$5),0,$B$5)) * ('Master Leads'!$E:$E&lt;=IF(ISBLANK($D$5),99999,$D$5))))</f>
        <v/>
      </c>
      <c r="F20" s="389">
        <f>IF($A20="","",SUMPRODUCT(('Master Leads'!$D:$D=$A20) * (ISNUMBER(SEARCH("10", 'Master Leads'!$G:$G))) * ('Master Leads'!$E:$E&gt;=IF(ISBLANK($B$5),0,$B$5)) * ('Master Leads'!$E:$E&lt;=IF(ISBLANK($D$5),99999,$D$5))))</f>
        <v/>
      </c>
      <c r="G20" s="389">
        <f>IF($A20="","",SUMPRODUCT(('Master Leads'!$D:$D=$A20) * (ISNUMBER(SEARCH("11", 'Master Leads'!$G:$G))) * ('Master Leads'!$E:$E&gt;=IF(ISBLANK($B$5),0,$B$5)) * ('Master Leads'!$E:$E&lt;=IF(ISBLANK($D$5),99999,$D$5))))</f>
        <v/>
      </c>
      <c r="H20" s="390">
        <f>IF($A20="","",COUNTIFS('Master Leads'!$D:$D,$A20,'Master Leads'!$E:$E,"&gt;="&amp;IF(ISBLANK($B$5),0,$B$5),'Master Leads'!$E:$E,"&lt;="&amp;IF(ISBLANK($D$5),99999,$D$5)))</f>
        <v/>
      </c>
      <c r="I20" s="391">
        <f>IF(OR($A20="",$H$29=0),"",H20/$H$29)</f>
        <v/>
      </c>
      <c r="J20" s="38" t="n"/>
    </row>
    <row r="21" ht="20" customHeight="1">
      <c r="A21" s="384">
        <f>IF(INDEX(Members!$A:$A,14)="","",INDEX(Members!$A:$A,14))</f>
        <v/>
      </c>
      <c r="B21" s="385">
        <f>IF($A21="","",SUMPRODUCT(('Master Leads'!$D:$D=$A21) * (ISNUMBER(SEARCH("6", 'Master Leads'!$G:$G))) * ('Master Leads'!$E:$E&gt;=IF(ISBLANK($B$5),0,$B$5)) * ('Master Leads'!$E:$E&lt;=IF(ISBLANK($D$5),99999,$D$5))))</f>
        <v/>
      </c>
      <c r="C21" s="385">
        <f>IF($A21="","",SUMPRODUCT(('Master Leads'!$D:$D=$A21) * (ISNUMBER(SEARCH("7", 'Master Leads'!$G:$G))) * ('Master Leads'!$E:$E&gt;=IF(ISBLANK($B$5),0,$B$5)) * ('Master Leads'!$E:$E&lt;=IF(ISBLANK($D$5),99999,$D$5))))</f>
        <v/>
      </c>
      <c r="D21" s="385">
        <f>IF($A21="","",SUMPRODUCT(('Master Leads'!$D:$D=$A21) * (ISNUMBER(SEARCH("8", 'Master Leads'!$G:$G))) * ('Master Leads'!$E:$E&gt;=IF(ISBLANK($B$5),0,$B$5)) * ('Master Leads'!$E:$E&lt;=IF(ISBLANK($D$5),99999,$D$5))))</f>
        <v/>
      </c>
      <c r="E21" s="385">
        <f>IF($A21="","",SUMPRODUCT(('Master Leads'!$D:$D=$A21) * (ISNUMBER(SEARCH("9", 'Master Leads'!$G:$G))) * ('Master Leads'!$E:$E&gt;=IF(ISBLANK($B$5),0,$B$5)) * ('Master Leads'!$E:$E&lt;=IF(ISBLANK($D$5),99999,$D$5))))</f>
        <v/>
      </c>
      <c r="F21" s="385">
        <f>IF($A21="","",SUMPRODUCT(('Master Leads'!$D:$D=$A21) * (ISNUMBER(SEARCH("10", 'Master Leads'!$G:$G))) * ('Master Leads'!$E:$E&gt;=IF(ISBLANK($B$5),0,$B$5)) * ('Master Leads'!$E:$E&lt;=IF(ISBLANK($D$5),99999,$D$5))))</f>
        <v/>
      </c>
      <c r="G21" s="385">
        <f>IF($A21="","",SUMPRODUCT(('Master Leads'!$D:$D=$A21) * (ISNUMBER(SEARCH("11", 'Master Leads'!$G:$G))) * ('Master Leads'!$E:$E&gt;=IF(ISBLANK($B$5),0,$B$5)) * ('Master Leads'!$E:$E&lt;=IF(ISBLANK($D$5),99999,$D$5))))</f>
        <v/>
      </c>
      <c r="H21" s="386">
        <f>IF($A21="","",COUNTIFS('Master Leads'!$D:$D,$A21,'Master Leads'!$E:$E,"&gt;="&amp;IF(ISBLANK($B$5),0,$B$5),'Master Leads'!$E:$E,"&lt;="&amp;IF(ISBLANK($D$5),99999,$D$5)))</f>
        <v/>
      </c>
      <c r="I21" s="387">
        <f>IF(OR($A21="",$H$29=0),"",H21/$H$29)</f>
        <v/>
      </c>
      <c r="J21" s="38" t="n"/>
    </row>
    <row r="22" ht="20" customHeight="1">
      <c r="A22" s="388">
        <f>IF(INDEX(Members!$A:$A,15)="","",INDEX(Members!$A:$A,15))</f>
        <v/>
      </c>
      <c r="B22" s="389">
        <f>IF($A22="","",SUMPRODUCT(('Master Leads'!$D:$D=$A22) * (ISNUMBER(SEARCH("6", 'Master Leads'!$G:$G))) * ('Master Leads'!$E:$E&gt;=IF(ISBLANK($B$5),0,$B$5)) * ('Master Leads'!$E:$E&lt;=IF(ISBLANK($D$5),99999,$D$5))))</f>
        <v/>
      </c>
      <c r="C22" s="389">
        <f>IF($A22="","",SUMPRODUCT(('Master Leads'!$D:$D=$A22) * (ISNUMBER(SEARCH("7", 'Master Leads'!$G:$G))) * ('Master Leads'!$E:$E&gt;=IF(ISBLANK($B$5),0,$B$5)) * ('Master Leads'!$E:$E&lt;=IF(ISBLANK($D$5),99999,$D$5))))</f>
        <v/>
      </c>
      <c r="D22" s="389">
        <f>IF($A22="","",SUMPRODUCT(('Master Leads'!$D:$D=$A22) * (ISNUMBER(SEARCH("8", 'Master Leads'!$G:$G))) * ('Master Leads'!$E:$E&gt;=IF(ISBLANK($B$5),0,$B$5)) * ('Master Leads'!$E:$E&lt;=IF(ISBLANK($D$5),99999,$D$5))))</f>
        <v/>
      </c>
      <c r="E22" s="389">
        <f>IF($A22="","",SUMPRODUCT(('Master Leads'!$D:$D=$A22) * (ISNUMBER(SEARCH("9", 'Master Leads'!$G:$G))) * ('Master Leads'!$E:$E&gt;=IF(ISBLANK($B$5),0,$B$5)) * ('Master Leads'!$E:$E&lt;=IF(ISBLANK($D$5),99999,$D$5))))</f>
        <v/>
      </c>
      <c r="F22" s="389">
        <f>IF($A22="","",SUMPRODUCT(('Master Leads'!$D:$D=$A22) * (ISNUMBER(SEARCH("10", 'Master Leads'!$G:$G))) * ('Master Leads'!$E:$E&gt;=IF(ISBLANK($B$5),0,$B$5)) * ('Master Leads'!$E:$E&lt;=IF(ISBLANK($D$5),99999,$D$5))))</f>
        <v/>
      </c>
      <c r="G22" s="389">
        <f>IF($A22="","",SUMPRODUCT(('Master Leads'!$D:$D=$A22) * (ISNUMBER(SEARCH("11", 'Master Leads'!$G:$G))) * ('Master Leads'!$E:$E&gt;=IF(ISBLANK($B$5),0,$B$5)) * ('Master Leads'!$E:$E&lt;=IF(ISBLANK($D$5),99999,$D$5))))</f>
        <v/>
      </c>
      <c r="H22" s="390">
        <f>IF($A22="","",COUNTIFS('Master Leads'!$D:$D,$A22,'Master Leads'!$E:$E,"&gt;="&amp;IF(ISBLANK($B$5),0,$B$5),'Master Leads'!$E:$E,"&lt;="&amp;IF(ISBLANK($D$5),99999,$D$5)))</f>
        <v/>
      </c>
      <c r="I22" s="391">
        <f>IF(OR($A22="",$H$29=0),"",H22/$H$29)</f>
        <v/>
      </c>
      <c r="J22" s="38" t="n"/>
    </row>
    <row r="23" ht="20" customHeight="1">
      <c r="A23" s="384">
        <f>IF(INDEX(Members!$A:$A,16)="","",INDEX(Members!$A:$A,16))</f>
        <v/>
      </c>
      <c r="B23" s="385">
        <f>IF($A23="","",SUMPRODUCT(('Master Leads'!$D:$D=$A23) * (ISNUMBER(SEARCH("6", 'Master Leads'!$G:$G))) * ('Master Leads'!$E:$E&gt;=IF(ISBLANK($B$5),0,$B$5)) * ('Master Leads'!$E:$E&lt;=IF(ISBLANK($D$5),99999,$D$5))))</f>
        <v/>
      </c>
      <c r="C23" s="385">
        <f>IF($A23="","",SUMPRODUCT(('Master Leads'!$D:$D=$A23) * (ISNUMBER(SEARCH("7", 'Master Leads'!$G:$G))) * ('Master Leads'!$E:$E&gt;=IF(ISBLANK($B$5),0,$B$5)) * ('Master Leads'!$E:$E&lt;=IF(ISBLANK($D$5),99999,$D$5))))</f>
        <v/>
      </c>
      <c r="D23" s="385">
        <f>IF($A23="","",SUMPRODUCT(('Master Leads'!$D:$D=$A23) * (ISNUMBER(SEARCH("8", 'Master Leads'!$G:$G))) * ('Master Leads'!$E:$E&gt;=IF(ISBLANK($B$5),0,$B$5)) * ('Master Leads'!$E:$E&lt;=IF(ISBLANK($D$5),99999,$D$5))))</f>
        <v/>
      </c>
      <c r="E23" s="385">
        <f>IF($A23="","",SUMPRODUCT(('Master Leads'!$D:$D=$A23) * (ISNUMBER(SEARCH("9", 'Master Leads'!$G:$G))) * ('Master Leads'!$E:$E&gt;=IF(ISBLANK($B$5),0,$B$5)) * ('Master Leads'!$E:$E&lt;=IF(ISBLANK($D$5),99999,$D$5))))</f>
        <v/>
      </c>
      <c r="F23" s="385">
        <f>IF($A23="","",SUMPRODUCT(('Master Leads'!$D:$D=$A23) * (ISNUMBER(SEARCH("10", 'Master Leads'!$G:$G))) * ('Master Leads'!$E:$E&gt;=IF(ISBLANK($B$5),0,$B$5)) * ('Master Leads'!$E:$E&lt;=IF(ISBLANK($D$5),99999,$D$5))))</f>
        <v/>
      </c>
      <c r="G23" s="385">
        <f>IF($A23="","",SUMPRODUCT(('Master Leads'!$D:$D=$A23) * (ISNUMBER(SEARCH("11", 'Master Leads'!$G:$G))) * ('Master Leads'!$E:$E&gt;=IF(ISBLANK($B$5),0,$B$5)) * ('Master Leads'!$E:$E&lt;=IF(ISBLANK($D$5),99999,$D$5))))</f>
        <v/>
      </c>
      <c r="H23" s="386">
        <f>IF($A23="","",COUNTIFS('Master Leads'!$D:$D,$A23,'Master Leads'!$E:$E,"&gt;="&amp;IF(ISBLANK($B$5),0,$B$5),'Master Leads'!$E:$E,"&lt;="&amp;IF(ISBLANK($D$5),99999,$D$5)))</f>
        <v/>
      </c>
      <c r="I23" s="387">
        <f>IF(OR($A23="",$H$29=0),"",H23/$H$29)</f>
        <v/>
      </c>
      <c r="J23" s="38" t="n"/>
    </row>
    <row r="24" ht="20" customHeight="1">
      <c r="A24" s="388">
        <f>IF(INDEX(Members!$A:$A,17)="","",INDEX(Members!$A:$A,17))</f>
        <v/>
      </c>
      <c r="B24" s="389">
        <f>IF($A24="","",SUMPRODUCT(('Master Leads'!$D:$D=$A24) * (ISNUMBER(SEARCH("6", 'Master Leads'!$G:$G))) * ('Master Leads'!$E:$E&gt;=IF(ISBLANK($B$5),0,$B$5)) * ('Master Leads'!$E:$E&lt;=IF(ISBLANK($D$5),99999,$D$5))))</f>
        <v/>
      </c>
      <c r="C24" s="389">
        <f>IF($A24="","",SUMPRODUCT(('Master Leads'!$D:$D=$A24) * (ISNUMBER(SEARCH("7", 'Master Leads'!$G:$G))) * ('Master Leads'!$E:$E&gt;=IF(ISBLANK($B$5),0,$B$5)) * ('Master Leads'!$E:$E&lt;=IF(ISBLANK($D$5),99999,$D$5))))</f>
        <v/>
      </c>
      <c r="D24" s="389">
        <f>IF($A24="","",SUMPRODUCT(('Master Leads'!$D:$D=$A24) * (ISNUMBER(SEARCH("8", 'Master Leads'!$G:$G))) * ('Master Leads'!$E:$E&gt;=IF(ISBLANK($B$5),0,$B$5)) * ('Master Leads'!$E:$E&lt;=IF(ISBLANK($D$5),99999,$D$5))))</f>
        <v/>
      </c>
      <c r="E24" s="389">
        <f>IF($A24="","",SUMPRODUCT(('Master Leads'!$D:$D=$A24) * (ISNUMBER(SEARCH("9", 'Master Leads'!$G:$G))) * ('Master Leads'!$E:$E&gt;=IF(ISBLANK($B$5),0,$B$5)) * ('Master Leads'!$E:$E&lt;=IF(ISBLANK($D$5),99999,$D$5))))</f>
        <v/>
      </c>
      <c r="F24" s="389">
        <f>IF($A24="","",SUMPRODUCT(('Master Leads'!$D:$D=$A24) * (ISNUMBER(SEARCH("10", 'Master Leads'!$G:$G))) * ('Master Leads'!$E:$E&gt;=IF(ISBLANK($B$5),0,$B$5)) * ('Master Leads'!$E:$E&lt;=IF(ISBLANK($D$5),99999,$D$5))))</f>
        <v/>
      </c>
      <c r="G24" s="389">
        <f>IF($A24="","",SUMPRODUCT(('Master Leads'!$D:$D=$A24) * (ISNUMBER(SEARCH("11", 'Master Leads'!$G:$G))) * ('Master Leads'!$E:$E&gt;=IF(ISBLANK($B$5),0,$B$5)) * ('Master Leads'!$E:$E&lt;=IF(ISBLANK($D$5),99999,$D$5))))</f>
        <v/>
      </c>
      <c r="H24" s="390">
        <f>IF($A24="","",COUNTIFS('Master Leads'!$D:$D,$A24,'Master Leads'!$E:$E,"&gt;="&amp;IF(ISBLANK($B$5),0,$B$5),'Master Leads'!$E:$E,"&lt;="&amp;IF(ISBLANK($D$5),99999,$D$5)))</f>
        <v/>
      </c>
      <c r="I24" s="391">
        <f>IF(OR($A24="",$H$29=0),"",H24/$H$29)</f>
        <v/>
      </c>
      <c r="J24" s="38" t="n"/>
    </row>
    <row r="25" ht="20" customHeight="1">
      <c r="A25" s="384">
        <f>IF(INDEX(Members!$A:$A,18)="","",INDEX(Members!$A:$A,18))</f>
        <v/>
      </c>
      <c r="B25" s="385">
        <f>IF($A25="","",SUMPRODUCT(('Master Leads'!$D:$D=$A25) * (ISNUMBER(SEARCH("6", 'Master Leads'!$G:$G))) * ('Master Leads'!$E:$E&gt;=IF(ISBLANK($B$5),0,$B$5)) * ('Master Leads'!$E:$E&lt;=IF(ISBLANK($D$5),99999,$D$5))))</f>
        <v/>
      </c>
      <c r="C25" s="385">
        <f>IF($A25="","",SUMPRODUCT(('Master Leads'!$D:$D=$A25) * (ISNUMBER(SEARCH("7", 'Master Leads'!$G:$G))) * ('Master Leads'!$E:$E&gt;=IF(ISBLANK($B$5),0,$B$5)) * ('Master Leads'!$E:$E&lt;=IF(ISBLANK($D$5),99999,$D$5))))</f>
        <v/>
      </c>
      <c r="D25" s="385">
        <f>IF($A25="","",SUMPRODUCT(('Master Leads'!$D:$D=$A25) * (ISNUMBER(SEARCH("8", 'Master Leads'!$G:$G))) * ('Master Leads'!$E:$E&gt;=IF(ISBLANK($B$5),0,$B$5)) * ('Master Leads'!$E:$E&lt;=IF(ISBLANK($D$5),99999,$D$5))))</f>
        <v/>
      </c>
      <c r="E25" s="385">
        <f>IF($A25="","",SUMPRODUCT(('Master Leads'!$D:$D=$A25) * (ISNUMBER(SEARCH("9", 'Master Leads'!$G:$G))) * ('Master Leads'!$E:$E&gt;=IF(ISBLANK($B$5),0,$B$5)) * ('Master Leads'!$E:$E&lt;=IF(ISBLANK($D$5),99999,$D$5))))</f>
        <v/>
      </c>
      <c r="F25" s="385">
        <f>IF($A25="","",SUMPRODUCT(('Master Leads'!$D:$D=$A25) * (ISNUMBER(SEARCH("10", 'Master Leads'!$G:$G))) * ('Master Leads'!$E:$E&gt;=IF(ISBLANK($B$5),0,$B$5)) * ('Master Leads'!$E:$E&lt;=IF(ISBLANK($D$5),99999,$D$5))))</f>
        <v/>
      </c>
      <c r="G25" s="385">
        <f>IF($A25="","",SUMPRODUCT(('Master Leads'!$D:$D=$A25) * (ISNUMBER(SEARCH("11", 'Master Leads'!$G:$G))) * ('Master Leads'!$E:$E&gt;=IF(ISBLANK($B$5),0,$B$5)) * ('Master Leads'!$E:$E&lt;=IF(ISBLANK($D$5),99999,$D$5))))</f>
        <v/>
      </c>
      <c r="H25" s="386">
        <f>IF($A25="","",COUNTIFS('Master Leads'!$D:$D,$A25,'Master Leads'!$E:$E,"&gt;="&amp;IF(ISBLANK($B$5),0,$B$5),'Master Leads'!$E:$E,"&lt;="&amp;IF(ISBLANK($D$5),99999,$D$5)))</f>
        <v/>
      </c>
      <c r="I25" s="387">
        <f>IF(OR($A25="",$H$29=0),"",H25/$H$29)</f>
        <v/>
      </c>
      <c r="J25" s="38" t="n"/>
    </row>
    <row r="26" ht="20" customHeight="1">
      <c r="A26" s="388">
        <f>IF(INDEX(Members!$A:$A,19)="","",INDEX(Members!$A:$A,19))</f>
        <v/>
      </c>
      <c r="B26" s="389">
        <f>IF($A26="","",SUMPRODUCT(('Master Leads'!$D:$D=$A26) * (ISNUMBER(SEARCH("6", 'Master Leads'!$G:$G))) * ('Master Leads'!$E:$E&gt;=IF(ISBLANK($B$5),0,$B$5)) * ('Master Leads'!$E:$E&lt;=IF(ISBLANK($D$5),99999,$D$5))))</f>
        <v/>
      </c>
      <c r="C26" s="389">
        <f>IF($A26="","",SUMPRODUCT(('Master Leads'!$D:$D=$A26) * (ISNUMBER(SEARCH("7", 'Master Leads'!$G:$G))) * ('Master Leads'!$E:$E&gt;=IF(ISBLANK($B$5),0,$B$5)) * ('Master Leads'!$E:$E&lt;=IF(ISBLANK($D$5),99999,$D$5))))</f>
        <v/>
      </c>
      <c r="D26" s="389">
        <f>IF($A26="","",SUMPRODUCT(('Master Leads'!$D:$D=$A26) * (ISNUMBER(SEARCH("8", 'Master Leads'!$G:$G))) * ('Master Leads'!$E:$E&gt;=IF(ISBLANK($B$5),0,$B$5)) * ('Master Leads'!$E:$E&lt;=IF(ISBLANK($D$5),99999,$D$5))))</f>
        <v/>
      </c>
      <c r="E26" s="389">
        <f>IF($A26="","",SUMPRODUCT(('Master Leads'!$D:$D=$A26) * (ISNUMBER(SEARCH("9", 'Master Leads'!$G:$G))) * ('Master Leads'!$E:$E&gt;=IF(ISBLANK($B$5),0,$B$5)) * ('Master Leads'!$E:$E&lt;=IF(ISBLANK($D$5),99999,$D$5))))</f>
        <v/>
      </c>
      <c r="F26" s="389">
        <f>IF($A26="","",SUMPRODUCT(('Master Leads'!$D:$D=$A26) * (ISNUMBER(SEARCH("10", 'Master Leads'!$G:$G))) * ('Master Leads'!$E:$E&gt;=IF(ISBLANK($B$5),0,$B$5)) * ('Master Leads'!$E:$E&lt;=IF(ISBLANK($D$5),99999,$D$5))))</f>
        <v/>
      </c>
      <c r="G26" s="389">
        <f>IF($A26="","",SUMPRODUCT(('Master Leads'!$D:$D=$A26) * (ISNUMBER(SEARCH("11", 'Master Leads'!$G:$G))) * ('Master Leads'!$E:$E&gt;=IF(ISBLANK($B$5),0,$B$5)) * ('Master Leads'!$E:$E&lt;=IF(ISBLANK($D$5),99999,$D$5))))</f>
        <v/>
      </c>
      <c r="H26" s="390">
        <f>IF($A26="","",COUNTIFS('Master Leads'!$D:$D,$A26,'Master Leads'!$E:$E,"&gt;="&amp;IF(ISBLANK($B$5),0,$B$5),'Master Leads'!$E:$E,"&lt;="&amp;IF(ISBLANK($D$5),99999,$D$5)))</f>
        <v/>
      </c>
      <c r="I26" s="391">
        <f>IF(OR($A26="",$H$29=0),"",H26/$H$29)</f>
        <v/>
      </c>
      <c r="J26" s="38" t="n"/>
    </row>
    <row r="27" ht="20" customHeight="1">
      <c r="A27" s="384">
        <f>IF(INDEX(Members!$A:$A,20)="","",INDEX(Members!$A:$A,20))</f>
        <v/>
      </c>
      <c r="B27" s="385">
        <f>IF($A27="","",SUMPRODUCT(('Master Leads'!$D:$D=$A27) * (ISNUMBER(SEARCH("6", 'Master Leads'!$G:$G))) * ('Master Leads'!$E:$E&gt;=IF(ISBLANK($B$5),0,$B$5)) * ('Master Leads'!$E:$E&lt;=IF(ISBLANK($D$5),99999,$D$5))))</f>
        <v/>
      </c>
      <c r="C27" s="385">
        <f>IF($A27="","",SUMPRODUCT(('Master Leads'!$D:$D=$A27) * (ISNUMBER(SEARCH("7", 'Master Leads'!$G:$G))) * ('Master Leads'!$E:$E&gt;=IF(ISBLANK($B$5),0,$B$5)) * ('Master Leads'!$E:$E&lt;=IF(ISBLANK($D$5),99999,$D$5))))</f>
        <v/>
      </c>
      <c r="D27" s="385">
        <f>IF($A27="","",SUMPRODUCT(('Master Leads'!$D:$D=$A27) * (ISNUMBER(SEARCH("8", 'Master Leads'!$G:$G))) * ('Master Leads'!$E:$E&gt;=IF(ISBLANK($B$5),0,$B$5)) * ('Master Leads'!$E:$E&lt;=IF(ISBLANK($D$5),99999,$D$5))))</f>
        <v/>
      </c>
      <c r="E27" s="385">
        <f>IF($A27="","",SUMPRODUCT(('Master Leads'!$D:$D=$A27) * (ISNUMBER(SEARCH("9", 'Master Leads'!$G:$G))) * ('Master Leads'!$E:$E&gt;=IF(ISBLANK($B$5),0,$B$5)) * ('Master Leads'!$E:$E&lt;=IF(ISBLANK($D$5),99999,$D$5))))</f>
        <v/>
      </c>
      <c r="F27" s="385">
        <f>IF($A27="","",SUMPRODUCT(('Master Leads'!$D:$D=$A27) * (ISNUMBER(SEARCH("10", 'Master Leads'!$G:$G))) * ('Master Leads'!$E:$E&gt;=IF(ISBLANK($B$5),0,$B$5)) * ('Master Leads'!$E:$E&lt;=IF(ISBLANK($D$5),99999,$D$5))))</f>
        <v/>
      </c>
      <c r="G27" s="385">
        <f>IF($A27="","",SUMPRODUCT(('Master Leads'!$D:$D=$A27) * (ISNUMBER(SEARCH("11", 'Master Leads'!$G:$G))) * ('Master Leads'!$E:$E&gt;=IF(ISBLANK($B$5),0,$B$5)) * ('Master Leads'!$E:$E&lt;=IF(ISBLANK($D$5),99999,$D$5))))</f>
        <v/>
      </c>
      <c r="H27" s="386">
        <f>IF($A27="","",COUNTIFS('Master Leads'!$D:$D,$A27,'Master Leads'!$E:$E,"&gt;="&amp;IF(ISBLANK($B$5),0,$B$5),'Master Leads'!$E:$E,"&lt;="&amp;IF(ISBLANK($D$5),99999,$D$5)))</f>
        <v/>
      </c>
      <c r="I27" s="387">
        <f>IF(OR($A27="",$H$29=0),"",H27/$H$29)</f>
        <v/>
      </c>
      <c r="J27" s="38" t="n"/>
    </row>
    <row r="28" ht="20" customHeight="1">
      <c r="A28" s="388">
        <f>IF(INDEX(Members!$A:$A,21)="","",INDEX(Members!$A:$A,21))</f>
        <v/>
      </c>
      <c r="B28" s="389">
        <f>IF($A28="","",SUMPRODUCT(('Master Leads'!$D:$D=$A28) * (ISNUMBER(SEARCH("6", 'Master Leads'!$G:$G))) * ('Master Leads'!$E:$E&gt;=IF(ISBLANK($B$5),0,$B$5)) * ('Master Leads'!$E:$E&lt;=IF(ISBLANK($D$5),99999,$D$5))))</f>
        <v/>
      </c>
      <c r="C28" s="389">
        <f>IF($A28="","",SUMPRODUCT(('Master Leads'!$D:$D=$A28) * (ISNUMBER(SEARCH("7", 'Master Leads'!$G:$G))) * ('Master Leads'!$E:$E&gt;=IF(ISBLANK($B$5),0,$B$5)) * ('Master Leads'!$E:$E&lt;=IF(ISBLANK($D$5),99999,$D$5))))</f>
        <v/>
      </c>
      <c r="D28" s="389">
        <f>IF($A28="","",SUMPRODUCT(('Master Leads'!$D:$D=$A28) * (ISNUMBER(SEARCH("8", 'Master Leads'!$G:$G))) * ('Master Leads'!$E:$E&gt;=IF(ISBLANK($B$5),0,$B$5)) * ('Master Leads'!$E:$E&lt;=IF(ISBLANK($D$5),99999,$D$5))))</f>
        <v/>
      </c>
      <c r="E28" s="389">
        <f>IF($A28="","",SUMPRODUCT(('Master Leads'!$D:$D=$A28) * (ISNUMBER(SEARCH("9", 'Master Leads'!$G:$G))) * ('Master Leads'!$E:$E&gt;=IF(ISBLANK($B$5),0,$B$5)) * ('Master Leads'!$E:$E&lt;=IF(ISBLANK($D$5),99999,$D$5))))</f>
        <v/>
      </c>
      <c r="F28" s="389">
        <f>IF($A28="","",SUMPRODUCT(('Master Leads'!$D:$D=$A28) * (ISNUMBER(SEARCH("10", 'Master Leads'!$G:$G))) * ('Master Leads'!$E:$E&gt;=IF(ISBLANK($B$5),0,$B$5)) * ('Master Leads'!$E:$E&lt;=IF(ISBLANK($D$5),99999,$D$5))))</f>
        <v/>
      </c>
      <c r="G28" s="389">
        <f>IF($A28="","",SUMPRODUCT(('Master Leads'!$D:$D=$A28) * (ISNUMBER(SEARCH("11", 'Master Leads'!$G:$G))) * ('Master Leads'!$E:$E&gt;=IF(ISBLANK($B$5),0,$B$5)) * ('Master Leads'!$E:$E&lt;=IF(ISBLANK($D$5),99999,$D$5))))</f>
        <v/>
      </c>
      <c r="H28" s="390">
        <f>IF($A28="","",COUNTIFS('Master Leads'!$D:$D,$A28,'Master Leads'!$E:$E,"&gt;="&amp;IF(ISBLANK($B$5),0,$B$5),'Master Leads'!$E:$E,"&lt;="&amp;IF(ISBLANK($D$5),99999,$D$5)))</f>
        <v/>
      </c>
      <c r="I28" s="391">
        <f>IF(OR($A28="",$H$29=0),"",H28/$H$29)</f>
        <v/>
      </c>
      <c r="J28" s="38" t="n"/>
    </row>
    <row r="29" ht="22" customHeight="1">
      <c r="A29" s="392" t="inlineStr">
        <is>
          <t>TOTAL</t>
        </is>
      </c>
      <c r="B29" s="392">
        <f>SUMPRODUCT((ISNUMBER(SEARCH("6", 'Master Leads'!$G:$G))) * ('Master Leads'!$E:$E&gt;=IF(ISBLANK($B$5),0,$B$5)) * ('Master Leads'!$E:$E&lt;=IF(ISBLANK($D$5),99999,$D$5)))</f>
        <v/>
      </c>
      <c r="C29" s="392">
        <f>SUMPRODUCT((ISNUMBER(SEARCH("7", 'Master Leads'!$G:$G))) * ('Master Leads'!$E:$E&gt;=IF(ISBLANK($B$5),0,$B$5)) * ('Master Leads'!$E:$E&lt;=IF(ISBLANK($D$5),99999,$D$5)))</f>
        <v/>
      </c>
      <c r="D29" s="392">
        <f>SUMPRODUCT((ISNUMBER(SEARCH("8", 'Master Leads'!$G:$G))) * ('Master Leads'!$E:$E&gt;=IF(ISBLANK($B$5),0,$B$5)) * ('Master Leads'!$E:$E&lt;=IF(ISBLANK($D$5),99999,$D$5)))</f>
        <v/>
      </c>
      <c r="E29" s="392">
        <f>SUMPRODUCT((ISNUMBER(SEARCH("9", 'Master Leads'!$G:$G))) * ('Master Leads'!$E:$E&gt;=IF(ISBLANK($B$5),0,$B$5)) * ('Master Leads'!$E:$E&lt;=IF(ISBLANK($D$5),99999,$D$5)))</f>
        <v/>
      </c>
      <c r="F29" s="392">
        <f>SUMPRODUCT((ISNUMBER(SEARCH("10", 'Master Leads'!$G:$G))) * ('Master Leads'!$E:$E&gt;=IF(ISBLANK($B$5),0,$B$5)) * ('Master Leads'!$E:$E&lt;=IF(ISBLANK($D$5),99999,$D$5)))</f>
        <v/>
      </c>
      <c r="G29" s="392">
        <f>SUMPRODUCT((ISNUMBER(SEARCH("11", 'Master Leads'!$G:$G))) * ('Master Leads'!$E:$E&gt;=IF(ISBLANK($B$5),0,$B$5)) * ('Master Leads'!$E:$E&lt;=IF(ISBLANK($D$5),99999,$D$5)))</f>
        <v/>
      </c>
      <c r="H29" s="392">
        <f>COUNTIFS('Master Leads'!$D:$D,"&lt;&gt;",'Master Leads'!$E:$E,"&gt;="&amp;IF(ISBLANK($B$5),0,$B$5),'Master Leads'!$E:$E,"&lt;="&amp;IF(ISBLANK($D$5),99999,$D$5))</f>
        <v/>
      </c>
      <c r="I29" s="393" t="n">
        <v>1</v>
      </c>
      <c r="J29" s="38" t="n"/>
    </row>
    <row r="30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</row>
    <row r="31">
      <c r="A31" s="38" t="n"/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</row>
    <row r="32" ht="24" customHeight="1">
      <c r="A32" s="51" t="inlineStr">
        <is>
          <t>TABLE 2: PAID LEADS BY MEMBER &amp; GRADE</t>
        </is>
      </c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</row>
    <row r="33" ht="24" customHeight="1">
      <c r="A33" s="394" t="inlineStr">
        <is>
          <t>Assigned Member</t>
        </is>
      </c>
      <c r="B33" s="395" t="inlineStr">
        <is>
          <t>Grade 6</t>
        </is>
      </c>
      <c r="C33" s="395" t="inlineStr">
        <is>
          <t>Grade 7</t>
        </is>
      </c>
      <c r="D33" s="395" t="inlineStr">
        <is>
          <t>Grade 8</t>
        </is>
      </c>
      <c r="E33" s="395" t="inlineStr">
        <is>
          <t>Grade 9</t>
        </is>
      </c>
      <c r="F33" s="395" t="inlineStr">
        <is>
          <t>Grade 10</t>
        </is>
      </c>
      <c r="G33" s="395" t="inlineStr">
        <is>
          <t>Grade 11</t>
        </is>
      </c>
      <c r="H33" s="394" t="inlineStr">
        <is>
          <t>Total Paid</t>
        </is>
      </c>
      <c r="I33" s="394" t="inlineStr">
        <is>
          <t>Paid Share %</t>
        </is>
      </c>
      <c r="J33" s="394" t="inlineStr">
        <is>
          <t>Conversion %</t>
        </is>
      </c>
    </row>
    <row r="34" ht="20" customHeight="1">
      <c r="A34" s="384">
        <f>IF(INDEX(Members!$A:$A,2)="","",INDEX(Members!$A:$A,2))</f>
        <v/>
      </c>
      <c r="B34" s="385">
        <f>IF($A34="","",SUMPRODUCT(('Master Leads'!$D:$D=$A34) * (ISNUMBER(SEARCH("6", 'Master Leads'!$P:$P))) * ('Master Leads'!$O:$O="Yes") * ('Master Leads'!$E:$E&gt;=IF(ISBLANK($B$5),0,$B$5)) * ('Master Leads'!$E:$E&lt;=IF(ISBLANK($D$5),99999,$D$5))))</f>
        <v/>
      </c>
      <c r="C34" s="385">
        <f>IF($A34="","",SUMPRODUCT(('Master Leads'!$D:$D=$A34) * (ISNUMBER(SEARCH("7", 'Master Leads'!$P:$P))) * ('Master Leads'!$O:$O="Yes") * ('Master Leads'!$E:$E&gt;=IF(ISBLANK($B$5),0,$B$5)) * ('Master Leads'!$E:$E&lt;=IF(ISBLANK($D$5),99999,$D$5))))</f>
        <v/>
      </c>
      <c r="D34" s="385">
        <f>IF($A34="","",SUMPRODUCT(('Master Leads'!$D:$D=$A34) * (ISNUMBER(SEARCH("8", 'Master Leads'!$P:$P))) * ('Master Leads'!$O:$O="Yes") * ('Master Leads'!$E:$E&gt;=IF(ISBLANK($B$5),0,$B$5)) * ('Master Leads'!$E:$E&lt;=IF(ISBLANK($D$5),99999,$D$5))))</f>
        <v/>
      </c>
      <c r="E34" s="385">
        <f>IF($A34="","",SUMPRODUCT(('Master Leads'!$D:$D=$A34) * (ISNUMBER(SEARCH("9", 'Master Leads'!$P:$P))) * ('Master Leads'!$O:$O="Yes") * ('Master Leads'!$E:$E&gt;=IF(ISBLANK($B$5),0,$B$5)) * ('Master Leads'!$E:$E&lt;=IF(ISBLANK($D$5),99999,$D$5))))</f>
        <v/>
      </c>
      <c r="F34" s="385">
        <f>IF($A34="","",SUMPRODUCT(('Master Leads'!$D:$D=$A34) * (ISNUMBER(SEARCH("10", 'Master Leads'!$P:$P))) * ('Master Leads'!$O:$O="Yes") * ('Master Leads'!$E:$E&gt;=IF(ISBLANK($B$5),0,$B$5)) * ('Master Leads'!$E:$E&lt;=IF(ISBLANK($D$5),99999,$D$5))))</f>
        <v/>
      </c>
      <c r="G34" s="385">
        <f>IF($A34="","",SUMPRODUCT(('Master Leads'!$D:$D=$A34) * (ISNUMBER(SEARCH("11", 'Master Leads'!$P:$P))) * ('Master Leads'!$O:$O="Yes") * ('Master Leads'!$E:$E&gt;=IF(ISBLANK($B$5),0,$B$5)) * ('Master Leads'!$E:$E&lt;=IF(ISBLANK($D$5),99999,$D$5))))</f>
        <v/>
      </c>
      <c r="H34" s="396">
        <f>IF($A34="","",SUM(B34:G34))</f>
        <v/>
      </c>
      <c r="I34" s="387">
        <f>IF(OR($A34="",$H$54=0),"",H34/$H$54)</f>
        <v/>
      </c>
      <c r="J34" s="397">
        <f>IF(OR($A34="",H9=0),"",H34/H9)</f>
        <v/>
      </c>
    </row>
    <row r="35" ht="20" customHeight="1">
      <c r="A35" s="388">
        <f>IF(INDEX(Members!$A:$A,3)="","",INDEX(Members!$A:$A,3))</f>
        <v/>
      </c>
      <c r="B35" s="389">
        <f>IF($A35="","",SUMPRODUCT(('Master Leads'!$D:$D=$A35) * (ISNUMBER(SEARCH("6", 'Master Leads'!$P:$P))) * ('Master Leads'!$O:$O="Yes") * ('Master Leads'!$E:$E&gt;=IF(ISBLANK($B$5),0,$B$5)) * ('Master Leads'!$E:$E&lt;=IF(ISBLANK($D$5),99999,$D$5))))</f>
        <v/>
      </c>
      <c r="C35" s="389">
        <f>IF($A35="","",SUMPRODUCT(('Master Leads'!$D:$D=$A35) * (ISNUMBER(SEARCH("7", 'Master Leads'!$P:$P))) * ('Master Leads'!$O:$O="Yes") * ('Master Leads'!$E:$E&gt;=IF(ISBLANK($B$5),0,$B$5)) * ('Master Leads'!$E:$E&lt;=IF(ISBLANK($D$5),99999,$D$5))))</f>
        <v/>
      </c>
      <c r="D35" s="389">
        <f>IF($A35="","",SUMPRODUCT(('Master Leads'!$D:$D=$A35) * (ISNUMBER(SEARCH("8", 'Master Leads'!$P:$P))) * ('Master Leads'!$O:$O="Yes") * ('Master Leads'!$E:$E&gt;=IF(ISBLANK($B$5),0,$B$5)) * ('Master Leads'!$E:$E&lt;=IF(ISBLANK($D$5),99999,$D$5))))</f>
        <v/>
      </c>
      <c r="E35" s="389">
        <f>IF($A35="","",SUMPRODUCT(('Master Leads'!$D:$D=$A35) * (ISNUMBER(SEARCH("9", 'Master Leads'!$P:$P))) * ('Master Leads'!$O:$O="Yes") * ('Master Leads'!$E:$E&gt;=IF(ISBLANK($B$5),0,$B$5)) * ('Master Leads'!$E:$E&lt;=IF(ISBLANK($D$5),99999,$D$5))))</f>
        <v/>
      </c>
      <c r="F35" s="389">
        <f>IF($A35="","",SUMPRODUCT(('Master Leads'!$D:$D=$A35) * (ISNUMBER(SEARCH("10", 'Master Leads'!$P:$P))) * ('Master Leads'!$O:$O="Yes") * ('Master Leads'!$E:$E&gt;=IF(ISBLANK($B$5),0,$B$5)) * ('Master Leads'!$E:$E&lt;=IF(ISBLANK($D$5),99999,$D$5))))</f>
        <v/>
      </c>
      <c r="G35" s="389">
        <f>IF($A35="","",SUMPRODUCT(('Master Leads'!$D:$D=$A35) * (ISNUMBER(SEARCH("11", 'Master Leads'!$P:$P))) * ('Master Leads'!$O:$O="Yes") * ('Master Leads'!$E:$E&gt;=IF(ISBLANK($B$5),0,$B$5)) * ('Master Leads'!$E:$E&lt;=IF(ISBLANK($D$5),99999,$D$5))))</f>
        <v/>
      </c>
      <c r="H35" s="398">
        <f>IF($A35="","",SUM(B35:G35))</f>
        <v/>
      </c>
      <c r="I35" s="391">
        <f>IF(OR($A35="",$H$54=0),"",H35/$H$54)</f>
        <v/>
      </c>
      <c r="J35" s="399">
        <f>IF(OR($A35="",H10=0),"",H35/H10)</f>
        <v/>
      </c>
    </row>
    <row r="36" ht="20" customHeight="1">
      <c r="A36" s="384">
        <f>IF(INDEX(Members!$A:$A,4)="","",INDEX(Members!$A:$A,4))</f>
        <v/>
      </c>
      <c r="B36" s="385">
        <f>IF($A36="","",SUMPRODUCT(('Master Leads'!$D:$D=$A36) * (ISNUMBER(SEARCH("6", 'Master Leads'!$P:$P))) * ('Master Leads'!$O:$O="Yes") * ('Master Leads'!$E:$E&gt;=IF(ISBLANK($B$5),0,$B$5)) * ('Master Leads'!$E:$E&lt;=IF(ISBLANK($D$5),99999,$D$5))))</f>
        <v/>
      </c>
      <c r="C36" s="385">
        <f>IF($A36="","",SUMPRODUCT(('Master Leads'!$D:$D=$A36) * (ISNUMBER(SEARCH("7", 'Master Leads'!$P:$P))) * ('Master Leads'!$O:$O="Yes") * ('Master Leads'!$E:$E&gt;=IF(ISBLANK($B$5),0,$B$5)) * ('Master Leads'!$E:$E&lt;=IF(ISBLANK($D$5),99999,$D$5))))</f>
        <v/>
      </c>
      <c r="D36" s="385">
        <f>IF($A36="","",SUMPRODUCT(('Master Leads'!$D:$D=$A36) * (ISNUMBER(SEARCH("8", 'Master Leads'!$P:$P))) * ('Master Leads'!$O:$O="Yes") * ('Master Leads'!$E:$E&gt;=IF(ISBLANK($B$5),0,$B$5)) * ('Master Leads'!$E:$E&lt;=IF(ISBLANK($D$5),99999,$D$5))))</f>
        <v/>
      </c>
      <c r="E36" s="385">
        <f>IF($A36="","",SUMPRODUCT(('Master Leads'!$D:$D=$A36) * (ISNUMBER(SEARCH("9", 'Master Leads'!$P:$P))) * ('Master Leads'!$O:$O="Yes") * ('Master Leads'!$E:$E&gt;=IF(ISBLANK($B$5),0,$B$5)) * ('Master Leads'!$E:$E&lt;=IF(ISBLANK($D$5),99999,$D$5))))</f>
        <v/>
      </c>
      <c r="F36" s="385">
        <f>IF($A36="","",SUMPRODUCT(('Master Leads'!$D:$D=$A36) * (ISNUMBER(SEARCH("10", 'Master Leads'!$P:$P))) * ('Master Leads'!$O:$O="Yes") * ('Master Leads'!$E:$E&gt;=IF(ISBLANK($B$5),0,$B$5)) * ('Master Leads'!$E:$E&lt;=IF(ISBLANK($D$5),99999,$D$5))))</f>
        <v/>
      </c>
      <c r="G36" s="385">
        <f>IF($A36="","",SUMPRODUCT(('Master Leads'!$D:$D=$A36) * (ISNUMBER(SEARCH("11", 'Master Leads'!$P:$P))) * ('Master Leads'!$O:$O="Yes") * ('Master Leads'!$E:$E&gt;=IF(ISBLANK($B$5),0,$B$5)) * ('Master Leads'!$E:$E&lt;=IF(ISBLANK($D$5),99999,$D$5))))</f>
        <v/>
      </c>
      <c r="H36" s="396">
        <f>IF($A36="","",SUM(B36:G36))</f>
        <v/>
      </c>
      <c r="I36" s="387">
        <f>IF(OR($A36="",$H$54=0),"",H36/$H$54)</f>
        <v/>
      </c>
      <c r="J36" s="397">
        <f>IF(OR($A36="",H11=0),"",H36/H11)</f>
        <v/>
      </c>
    </row>
    <row r="37" ht="20" customHeight="1">
      <c r="A37" s="388">
        <f>IF(INDEX(Members!$A:$A,5)="","",INDEX(Members!$A:$A,5))</f>
        <v/>
      </c>
      <c r="B37" s="389">
        <f>IF($A37="","",SUMPRODUCT(('Master Leads'!$D:$D=$A37) * (ISNUMBER(SEARCH("6", 'Master Leads'!$P:$P))) * ('Master Leads'!$O:$O="Yes") * ('Master Leads'!$E:$E&gt;=IF(ISBLANK($B$5),0,$B$5)) * ('Master Leads'!$E:$E&lt;=IF(ISBLANK($D$5),99999,$D$5))))</f>
        <v/>
      </c>
      <c r="C37" s="389">
        <f>IF($A37="","",SUMPRODUCT(('Master Leads'!$D:$D=$A37) * (ISNUMBER(SEARCH("7", 'Master Leads'!$P:$P))) * ('Master Leads'!$O:$O="Yes") * ('Master Leads'!$E:$E&gt;=IF(ISBLANK($B$5),0,$B$5)) * ('Master Leads'!$E:$E&lt;=IF(ISBLANK($D$5),99999,$D$5))))</f>
        <v/>
      </c>
      <c r="D37" s="389">
        <f>IF($A37="","",SUMPRODUCT(('Master Leads'!$D:$D=$A37) * (ISNUMBER(SEARCH("8", 'Master Leads'!$P:$P))) * ('Master Leads'!$O:$O="Yes") * ('Master Leads'!$E:$E&gt;=IF(ISBLANK($B$5),0,$B$5)) * ('Master Leads'!$E:$E&lt;=IF(ISBLANK($D$5),99999,$D$5))))</f>
        <v/>
      </c>
      <c r="E37" s="389">
        <f>IF($A37="","",SUMPRODUCT(('Master Leads'!$D:$D=$A37) * (ISNUMBER(SEARCH("9", 'Master Leads'!$P:$P))) * ('Master Leads'!$O:$O="Yes") * ('Master Leads'!$E:$E&gt;=IF(ISBLANK($B$5),0,$B$5)) * ('Master Leads'!$E:$E&lt;=IF(ISBLANK($D$5),99999,$D$5))))</f>
        <v/>
      </c>
      <c r="F37" s="389">
        <f>IF($A37="","",SUMPRODUCT(('Master Leads'!$D:$D=$A37) * (ISNUMBER(SEARCH("10", 'Master Leads'!$P:$P))) * ('Master Leads'!$O:$O="Yes") * ('Master Leads'!$E:$E&gt;=IF(ISBLANK($B$5),0,$B$5)) * ('Master Leads'!$E:$E&lt;=IF(ISBLANK($D$5),99999,$D$5))))</f>
        <v/>
      </c>
      <c r="G37" s="389">
        <f>IF($A37="","",SUMPRODUCT(('Master Leads'!$D:$D=$A37) * (ISNUMBER(SEARCH("11", 'Master Leads'!$P:$P))) * ('Master Leads'!$O:$O="Yes") * ('Master Leads'!$E:$E&gt;=IF(ISBLANK($B$5),0,$B$5)) * ('Master Leads'!$E:$E&lt;=IF(ISBLANK($D$5),99999,$D$5))))</f>
        <v/>
      </c>
      <c r="H37" s="398">
        <f>IF($A37="","",SUM(B37:G37))</f>
        <v/>
      </c>
      <c r="I37" s="391">
        <f>IF(OR($A37="",$H$54=0),"",H37/$H$54)</f>
        <v/>
      </c>
      <c r="J37" s="399">
        <f>IF(OR($A37="",H12=0),"",H37/H12)</f>
        <v/>
      </c>
    </row>
    <row r="38" ht="20" customHeight="1">
      <c r="A38" s="384">
        <f>IF(INDEX(Members!$A:$A,6)="","",INDEX(Members!$A:$A,6))</f>
        <v/>
      </c>
      <c r="B38" s="385">
        <f>IF($A38="","",SUMPRODUCT(('Master Leads'!$D:$D=$A38) * (ISNUMBER(SEARCH("6", 'Master Leads'!$P:$P))) * ('Master Leads'!$O:$O="Yes") * ('Master Leads'!$E:$E&gt;=IF(ISBLANK($B$5),0,$B$5)) * ('Master Leads'!$E:$E&lt;=IF(ISBLANK($D$5),99999,$D$5))))</f>
        <v/>
      </c>
      <c r="C38" s="385">
        <f>IF($A38="","",SUMPRODUCT(('Master Leads'!$D:$D=$A38) * (ISNUMBER(SEARCH("7", 'Master Leads'!$P:$P))) * ('Master Leads'!$O:$O="Yes") * ('Master Leads'!$E:$E&gt;=IF(ISBLANK($B$5),0,$B$5)) * ('Master Leads'!$E:$E&lt;=IF(ISBLANK($D$5),99999,$D$5))))</f>
        <v/>
      </c>
      <c r="D38" s="385">
        <f>IF($A38="","",SUMPRODUCT(('Master Leads'!$D:$D=$A38) * (ISNUMBER(SEARCH("8", 'Master Leads'!$P:$P))) * ('Master Leads'!$O:$O="Yes") * ('Master Leads'!$E:$E&gt;=IF(ISBLANK($B$5),0,$B$5)) * ('Master Leads'!$E:$E&lt;=IF(ISBLANK($D$5),99999,$D$5))))</f>
        <v/>
      </c>
      <c r="E38" s="385">
        <f>IF($A38="","",SUMPRODUCT(('Master Leads'!$D:$D=$A38) * (ISNUMBER(SEARCH("9", 'Master Leads'!$P:$P))) * ('Master Leads'!$O:$O="Yes") * ('Master Leads'!$E:$E&gt;=IF(ISBLANK($B$5),0,$B$5)) * ('Master Leads'!$E:$E&lt;=IF(ISBLANK($D$5),99999,$D$5))))</f>
        <v/>
      </c>
      <c r="F38" s="385">
        <f>IF($A38="","",SUMPRODUCT(('Master Leads'!$D:$D=$A38) * (ISNUMBER(SEARCH("10", 'Master Leads'!$P:$P))) * ('Master Leads'!$O:$O="Yes") * ('Master Leads'!$E:$E&gt;=IF(ISBLANK($B$5),0,$B$5)) * ('Master Leads'!$E:$E&lt;=IF(ISBLANK($D$5),99999,$D$5))))</f>
        <v/>
      </c>
      <c r="G38" s="385">
        <f>IF($A38="","",SUMPRODUCT(('Master Leads'!$D:$D=$A38) * (ISNUMBER(SEARCH("11", 'Master Leads'!$P:$P))) * ('Master Leads'!$O:$O="Yes") * ('Master Leads'!$E:$E&gt;=IF(ISBLANK($B$5),0,$B$5)) * ('Master Leads'!$E:$E&lt;=IF(ISBLANK($D$5),99999,$D$5))))</f>
        <v/>
      </c>
      <c r="H38" s="396">
        <f>IF($A38="","",SUM(B38:G38))</f>
        <v/>
      </c>
      <c r="I38" s="387">
        <f>IF(OR($A38="",$H$54=0),"",H38/$H$54)</f>
        <v/>
      </c>
      <c r="J38" s="397">
        <f>IF(OR($A38="",H13=0),"",H38/H13)</f>
        <v/>
      </c>
    </row>
    <row r="39" ht="20" customHeight="1">
      <c r="A39" s="388">
        <f>IF(INDEX(Members!$A:$A,7)="","",INDEX(Members!$A:$A,7))</f>
        <v/>
      </c>
      <c r="B39" s="389">
        <f>IF($A39="","",SUMPRODUCT(('Master Leads'!$D:$D=$A39) * (ISNUMBER(SEARCH("6", 'Master Leads'!$P:$P))) * ('Master Leads'!$O:$O="Yes") * ('Master Leads'!$E:$E&gt;=IF(ISBLANK($B$5),0,$B$5)) * ('Master Leads'!$E:$E&lt;=IF(ISBLANK($D$5),99999,$D$5))))</f>
        <v/>
      </c>
      <c r="C39" s="389">
        <f>IF($A39="","",SUMPRODUCT(('Master Leads'!$D:$D=$A39) * (ISNUMBER(SEARCH("7", 'Master Leads'!$P:$P))) * ('Master Leads'!$O:$O="Yes") * ('Master Leads'!$E:$E&gt;=IF(ISBLANK($B$5),0,$B$5)) * ('Master Leads'!$E:$E&lt;=IF(ISBLANK($D$5),99999,$D$5))))</f>
        <v/>
      </c>
      <c r="D39" s="389">
        <f>IF($A39="","",SUMPRODUCT(('Master Leads'!$D:$D=$A39) * (ISNUMBER(SEARCH("8", 'Master Leads'!$P:$P))) * ('Master Leads'!$O:$O="Yes") * ('Master Leads'!$E:$E&gt;=IF(ISBLANK($B$5),0,$B$5)) * ('Master Leads'!$E:$E&lt;=IF(ISBLANK($D$5),99999,$D$5))))</f>
        <v/>
      </c>
      <c r="E39" s="389">
        <f>IF($A39="","",SUMPRODUCT(('Master Leads'!$D:$D=$A39) * (ISNUMBER(SEARCH("9", 'Master Leads'!$P:$P))) * ('Master Leads'!$O:$O="Yes") * ('Master Leads'!$E:$E&gt;=IF(ISBLANK($B$5),0,$B$5)) * ('Master Leads'!$E:$E&lt;=IF(ISBLANK($D$5),99999,$D$5))))</f>
        <v/>
      </c>
      <c r="F39" s="389">
        <f>IF($A39="","",SUMPRODUCT(('Master Leads'!$D:$D=$A39) * (ISNUMBER(SEARCH("10", 'Master Leads'!$P:$P))) * ('Master Leads'!$O:$O="Yes") * ('Master Leads'!$E:$E&gt;=IF(ISBLANK($B$5),0,$B$5)) * ('Master Leads'!$E:$E&lt;=IF(ISBLANK($D$5),99999,$D$5))))</f>
        <v/>
      </c>
      <c r="G39" s="389">
        <f>IF($A39="","",SUMPRODUCT(('Master Leads'!$D:$D=$A39) * (ISNUMBER(SEARCH("11", 'Master Leads'!$P:$P))) * ('Master Leads'!$O:$O="Yes") * ('Master Leads'!$E:$E&gt;=IF(ISBLANK($B$5),0,$B$5)) * ('Master Leads'!$E:$E&lt;=IF(ISBLANK($D$5),99999,$D$5))))</f>
        <v/>
      </c>
      <c r="H39" s="398">
        <f>IF($A39="","",SUM(B39:G39))</f>
        <v/>
      </c>
      <c r="I39" s="391">
        <f>IF(OR($A39="",$H$54=0),"",H39/$H$54)</f>
        <v/>
      </c>
      <c r="J39" s="399">
        <f>IF(OR($A39="",H14=0),"",H39/H14)</f>
        <v/>
      </c>
    </row>
    <row r="40" ht="20" customHeight="1">
      <c r="A40" s="384">
        <f>IF(INDEX(Members!$A:$A,8)="","",INDEX(Members!$A:$A,8))</f>
        <v/>
      </c>
      <c r="B40" s="385">
        <f>IF($A40="","",SUMPRODUCT(('Master Leads'!$D:$D=$A40) * (ISNUMBER(SEARCH("6", 'Master Leads'!$P:$P))) * ('Master Leads'!$O:$O="Yes") * ('Master Leads'!$E:$E&gt;=IF(ISBLANK($B$5),0,$B$5)) * ('Master Leads'!$E:$E&lt;=IF(ISBLANK($D$5),99999,$D$5))))</f>
        <v/>
      </c>
      <c r="C40" s="385">
        <f>IF($A40="","",SUMPRODUCT(('Master Leads'!$D:$D=$A40) * (ISNUMBER(SEARCH("7", 'Master Leads'!$P:$P))) * ('Master Leads'!$O:$O="Yes") * ('Master Leads'!$E:$E&gt;=IF(ISBLANK($B$5),0,$B$5)) * ('Master Leads'!$E:$E&lt;=IF(ISBLANK($D$5),99999,$D$5))))</f>
        <v/>
      </c>
      <c r="D40" s="385">
        <f>IF($A40="","",SUMPRODUCT(('Master Leads'!$D:$D=$A40) * (ISNUMBER(SEARCH("8", 'Master Leads'!$P:$P))) * ('Master Leads'!$O:$O="Yes") * ('Master Leads'!$E:$E&gt;=IF(ISBLANK($B$5),0,$B$5)) * ('Master Leads'!$E:$E&lt;=IF(ISBLANK($D$5),99999,$D$5))))</f>
        <v/>
      </c>
      <c r="E40" s="385">
        <f>IF($A40="","",SUMPRODUCT(('Master Leads'!$D:$D=$A40) * (ISNUMBER(SEARCH("9", 'Master Leads'!$P:$P))) * ('Master Leads'!$O:$O="Yes") * ('Master Leads'!$E:$E&gt;=IF(ISBLANK($B$5),0,$B$5)) * ('Master Leads'!$E:$E&lt;=IF(ISBLANK($D$5),99999,$D$5))))</f>
        <v/>
      </c>
      <c r="F40" s="385">
        <f>IF($A40="","",SUMPRODUCT(('Master Leads'!$D:$D=$A40) * (ISNUMBER(SEARCH("10", 'Master Leads'!$P:$P))) * ('Master Leads'!$O:$O="Yes") * ('Master Leads'!$E:$E&gt;=IF(ISBLANK($B$5),0,$B$5)) * ('Master Leads'!$E:$E&lt;=IF(ISBLANK($D$5),99999,$D$5))))</f>
        <v/>
      </c>
      <c r="G40" s="385">
        <f>IF($A40="","",SUMPRODUCT(('Master Leads'!$D:$D=$A40) * (ISNUMBER(SEARCH("11", 'Master Leads'!$P:$P))) * ('Master Leads'!$O:$O="Yes") * ('Master Leads'!$E:$E&gt;=IF(ISBLANK($B$5),0,$B$5)) * ('Master Leads'!$E:$E&lt;=IF(ISBLANK($D$5),99999,$D$5))))</f>
        <v/>
      </c>
      <c r="H40" s="396">
        <f>IF($A40="","",SUM(B40:G40))</f>
        <v/>
      </c>
      <c r="I40" s="387">
        <f>IF(OR($A40="",$H$54=0),"",H40/$H$54)</f>
        <v/>
      </c>
      <c r="J40" s="397">
        <f>IF(OR($A40="",H15=0),"",H40/H15)</f>
        <v/>
      </c>
    </row>
    <row r="41" ht="20" customHeight="1">
      <c r="A41" s="388">
        <f>IF(INDEX(Members!$A:$A,9)="","",INDEX(Members!$A:$A,9))</f>
        <v/>
      </c>
      <c r="B41" s="389">
        <f>IF($A41="","",SUMPRODUCT(('Master Leads'!$D:$D=$A41) * (ISNUMBER(SEARCH("6", 'Master Leads'!$P:$P))) * ('Master Leads'!$O:$O="Yes") * ('Master Leads'!$E:$E&gt;=IF(ISBLANK($B$5),0,$B$5)) * ('Master Leads'!$E:$E&lt;=IF(ISBLANK($D$5),99999,$D$5))))</f>
        <v/>
      </c>
      <c r="C41" s="389">
        <f>IF($A41="","",SUMPRODUCT(('Master Leads'!$D:$D=$A41) * (ISNUMBER(SEARCH("7", 'Master Leads'!$P:$P))) * ('Master Leads'!$O:$O="Yes") * ('Master Leads'!$E:$E&gt;=IF(ISBLANK($B$5),0,$B$5)) * ('Master Leads'!$E:$E&lt;=IF(ISBLANK($D$5),99999,$D$5))))</f>
        <v/>
      </c>
      <c r="D41" s="389">
        <f>IF($A41="","",SUMPRODUCT(('Master Leads'!$D:$D=$A41) * (ISNUMBER(SEARCH("8", 'Master Leads'!$P:$P))) * ('Master Leads'!$O:$O="Yes") * ('Master Leads'!$E:$E&gt;=IF(ISBLANK($B$5),0,$B$5)) * ('Master Leads'!$E:$E&lt;=IF(ISBLANK($D$5),99999,$D$5))))</f>
        <v/>
      </c>
      <c r="E41" s="389">
        <f>IF($A41="","",SUMPRODUCT(('Master Leads'!$D:$D=$A41) * (ISNUMBER(SEARCH("9", 'Master Leads'!$P:$P))) * ('Master Leads'!$O:$O="Yes") * ('Master Leads'!$E:$E&gt;=IF(ISBLANK($B$5),0,$B$5)) * ('Master Leads'!$E:$E&lt;=IF(ISBLANK($D$5),99999,$D$5))))</f>
        <v/>
      </c>
      <c r="F41" s="389">
        <f>IF($A41="","",SUMPRODUCT(('Master Leads'!$D:$D=$A41) * (ISNUMBER(SEARCH("10", 'Master Leads'!$P:$P))) * ('Master Leads'!$O:$O="Yes") * ('Master Leads'!$E:$E&gt;=IF(ISBLANK($B$5),0,$B$5)) * ('Master Leads'!$E:$E&lt;=IF(ISBLANK($D$5),99999,$D$5))))</f>
        <v/>
      </c>
      <c r="G41" s="389">
        <f>IF($A41="","",SUMPRODUCT(('Master Leads'!$D:$D=$A41) * (ISNUMBER(SEARCH("11", 'Master Leads'!$P:$P))) * ('Master Leads'!$O:$O="Yes") * ('Master Leads'!$E:$E&gt;=IF(ISBLANK($B$5),0,$B$5)) * ('Master Leads'!$E:$E&lt;=IF(ISBLANK($D$5),99999,$D$5))))</f>
        <v/>
      </c>
      <c r="H41" s="398">
        <f>IF($A41="","",SUM(B41:G41))</f>
        <v/>
      </c>
      <c r="I41" s="391">
        <f>IF(OR($A41="",$H$54=0),"",H41/$H$54)</f>
        <v/>
      </c>
      <c r="J41" s="399">
        <f>IF(OR($A41="",H16=0),"",H41/H16)</f>
        <v/>
      </c>
    </row>
    <row r="42" ht="20" customHeight="1">
      <c r="A42" s="384">
        <f>IF(INDEX(Members!$A:$A,10)="","",INDEX(Members!$A:$A,10))</f>
        <v/>
      </c>
      <c r="B42" s="385">
        <f>IF($A42="","",SUMPRODUCT(('Master Leads'!$D:$D=$A42) * (ISNUMBER(SEARCH("6", 'Master Leads'!$P:$P))) * ('Master Leads'!$O:$O="Yes") * ('Master Leads'!$E:$E&gt;=IF(ISBLANK($B$5),0,$B$5)) * ('Master Leads'!$E:$E&lt;=IF(ISBLANK($D$5),99999,$D$5))))</f>
        <v/>
      </c>
      <c r="C42" s="385">
        <f>IF($A42="","",SUMPRODUCT(('Master Leads'!$D:$D=$A42) * (ISNUMBER(SEARCH("7", 'Master Leads'!$P:$P))) * ('Master Leads'!$O:$O="Yes") * ('Master Leads'!$E:$E&gt;=IF(ISBLANK($B$5),0,$B$5)) * ('Master Leads'!$E:$E&lt;=IF(ISBLANK($D$5),99999,$D$5))))</f>
        <v/>
      </c>
      <c r="D42" s="385">
        <f>IF($A42="","",SUMPRODUCT(('Master Leads'!$D:$D=$A42) * (ISNUMBER(SEARCH("8", 'Master Leads'!$P:$P))) * ('Master Leads'!$O:$O="Yes") * ('Master Leads'!$E:$E&gt;=IF(ISBLANK($B$5),0,$B$5)) * ('Master Leads'!$E:$E&lt;=IF(ISBLANK($D$5),99999,$D$5))))</f>
        <v/>
      </c>
      <c r="E42" s="385">
        <f>IF($A42="","",SUMPRODUCT(('Master Leads'!$D:$D=$A42) * (ISNUMBER(SEARCH("9", 'Master Leads'!$P:$P))) * ('Master Leads'!$O:$O="Yes") * ('Master Leads'!$E:$E&gt;=IF(ISBLANK($B$5),0,$B$5)) * ('Master Leads'!$E:$E&lt;=IF(ISBLANK($D$5),99999,$D$5))))</f>
        <v/>
      </c>
      <c r="F42" s="385">
        <f>IF($A42="","",SUMPRODUCT(('Master Leads'!$D:$D=$A42) * (ISNUMBER(SEARCH("10", 'Master Leads'!$P:$P))) * ('Master Leads'!$O:$O="Yes") * ('Master Leads'!$E:$E&gt;=IF(ISBLANK($B$5),0,$B$5)) * ('Master Leads'!$E:$E&lt;=IF(ISBLANK($D$5),99999,$D$5))))</f>
        <v/>
      </c>
      <c r="G42" s="385">
        <f>IF($A42="","",SUMPRODUCT(('Master Leads'!$D:$D=$A42) * (ISNUMBER(SEARCH("11", 'Master Leads'!$P:$P))) * ('Master Leads'!$O:$O="Yes") * ('Master Leads'!$E:$E&gt;=IF(ISBLANK($B$5),0,$B$5)) * ('Master Leads'!$E:$E&lt;=IF(ISBLANK($D$5),99999,$D$5))))</f>
        <v/>
      </c>
      <c r="H42" s="396">
        <f>IF($A42="","",SUM(B42:G42))</f>
        <v/>
      </c>
      <c r="I42" s="387">
        <f>IF(OR($A42="",$H$54=0),"",H42/$H$54)</f>
        <v/>
      </c>
      <c r="J42" s="397">
        <f>IF(OR($A42="",H17=0),"",H42/H17)</f>
        <v/>
      </c>
    </row>
    <row r="43" ht="20" customHeight="1">
      <c r="A43" s="388">
        <f>IF(INDEX(Members!$A:$A,11)="","",INDEX(Members!$A:$A,11))</f>
        <v/>
      </c>
      <c r="B43" s="389">
        <f>IF($A43="","",SUMPRODUCT(('Master Leads'!$D:$D=$A43) * (ISNUMBER(SEARCH("6", 'Master Leads'!$P:$P))) * ('Master Leads'!$O:$O="Yes") * ('Master Leads'!$E:$E&gt;=IF(ISBLANK($B$5),0,$B$5)) * ('Master Leads'!$E:$E&lt;=IF(ISBLANK($D$5),99999,$D$5))))</f>
        <v/>
      </c>
      <c r="C43" s="389">
        <f>IF($A43="","",SUMPRODUCT(('Master Leads'!$D:$D=$A43) * (ISNUMBER(SEARCH("7", 'Master Leads'!$P:$P))) * ('Master Leads'!$O:$O="Yes") * ('Master Leads'!$E:$E&gt;=IF(ISBLANK($B$5),0,$B$5)) * ('Master Leads'!$E:$E&lt;=IF(ISBLANK($D$5),99999,$D$5))))</f>
        <v/>
      </c>
      <c r="D43" s="389">
        <f>IF($A43="","",SUMPRODUCT(('Master Leads'!$D:$D=$A43) * (ISNUMBER(SEARCH("8", 'Master Leads'!$P:$P))) * ('Master Leads'!$O:$O="Yes") * ('Master Leads'!$E:$E&gt;=IF(ISBLANK($B$5),0,$B$5)) * ('Master Leads'!$E:$E&lt;=IF(ISBLANK($D$5),99999,$D$5))))</f>
        <v/>
      </c>
      <c r="E43" s="389">
        <f>IF($A43="","",SUMPRODUCT(('Master Leads'!$D:$D=$A43) * (ISNUMBER(SEARCH("9", 'Master Leads'!$P:$P))) * ('Master Leads'!$O:$O="Yes") * ('Master Leads'!$E:$E&gt;=IF(ISBLANK($B$5),0,$B$5)) * ('Master Leads'!$E:$E&lt;=IF(ISBLANK($D$5),99999,$D$5))))</f>
        <v/>
      </c>
      <c r="F43" s="389">
        <f>IF($A43="","",SUMPRODUCT(('Master Leads'!$D:$D=$A43) * (ISNUMBER(SEARCH("10", 'Master Leads'!$P:$P))) * ('Master Leads'!$O:$O="Yes") * ('Master Leads'!$E:$E&gt;=IF(ISBLANK($B$5),0,$B$5)) * ('Master Leads'!$E:$E&lt;=IF(ISBLANK($D$5),99999,$D$5))))</f>
        <v/>
      </c>
      <c r="G43" s="389">
        <f>IF($A43="","",SUMPRODUCT(('Master Leads'!$D:$D=$A43) * (ISNUMBER(SEARCH("11", 'Master Leads'!$P:$P))) * ('Master Leads'!$O:$O="Yes") * ('Master Leads'!$E:$E&gt;=IF(ISBLANK($B$5),0,$B$5)) * ('Master Leads'!$E:$E&lt;=IF(ISBLANK($D$5),99999,$D$5))))</f>
        <v/>
      </c>
      <c r="H43" s="398">
        <f>IF($A43="","",SUM(B43:G43))</f>
        <v/>
      </c>
      <c r="I43" s="391">
        <f>IF(OR($A43="",$H$54=0),"",H43/$H$54)</f>
        <v/>
      </c>
      <c r="J43" s="399">
        <f>IF(OR($A43="",H18=0),"",H43/H18)</f>
        <v/>
      </c>
    </row>
    <row r="44" ht="20" customHeight="1">
      <c r="A44" s="384">
        <f>IF(INDEX(Members!$A:$A,12)="","",INDEX(Members!$A:$A,12))</f>
        <v/>
      </c>
      <c r="B44" s="385">
        <f>IF($A44="","",SUMPRODUCT(('Master Leads'!$D:$D=$A44) * (ISNUMBER(SEARCH("6", 'Master Leads'!$P:$P))) * ('Master Leads'!$O:$O="Yes") * ('Master Leads'!$E:$E&gt;=IF(ISBLANK($B$5),0,$B$5)) * ('Master Leads'!$E:$E&lt;=IF(ISBLANK($D$5),99999,$D$5))))</f>
        <v/>
      </c>
      <c r="C44" s="385">
        <f>IF($A44="","",SUMPRODUCT(('Master Leads'!$D:$D=$A44) * (ISNUMBER(SEARCH("7", 'Master Leads'!$P:$P))) * ('Master Leads'!$O:$O="Yes") * ('Master Leads'!$E:$E&gt;=IF(ISBLANK($B$5),0,$B$5)) * ('Master Leads'!$E:$E&lt;=IF(ISBLANK($D$5),99999,$D$5))))</f>
        <v/>
      </c>
      <c r="D44" s="385">
        <f>IF($A44="","",SUMPRODUCT(('Master Leads'!$D:$D=$A44) * (ISNUMBER(SEARCH("8", 'Master Leads'!$P:$P))) * ('Master Leads'!$O:$O="Yes") * ('Master Leads'!$E:$E&gt;=IF(ISBLANK($B$5),0,$B$5)) * ('Master Leads'!$E:$E&lt;=IF(ISBLANK($D$5),99999,$D$5))))</f>
        <v/>
      </c>
      <c r="E44" s="385">
        <f>IF($A44="","",SUMPRODUCT(('Master Leads'!$D:$D=$A44) * (ISNUMBER(SEARCH("9", 'Master Leads'!$P:$P))) * ('Master Leads'!$O:$O="Yes") * ('Master Leads'!$E:$E&gt;=IF(ISBLANK($B$5),0,$B$5)) * ('Master Leads'!$E:$E&lt;=IF(ISBLANK($D$5),99999,$D$5))))</f>
        <v/>
      </c>
      <c r="F44" s="385">
        <f>IF($A44="","",SUMPRODUCT(('Master Leads'!$D:$D=$A44) * (ISNUMBER(SEARCH("10", 'Master Leads'!$P:$P))) * ('Master Leads'!$O:$O="Yes") * ('Master Leads'!$E:$E&gt;=IF(ISBLANK($B$5),0,$B$5)) * ('Master Leads'!$E:$E&lt;=IF(ISBLANK($D$5),99999,$D$5))))</f>
        <v/>
      </c>
      <c r="G44" s="385">
        <f>IF($A44="","",SUMPRODUCT(('Master Leads'!$D:$D=$A44) * (ISNUMBER(SEARCH("11", 'Master Leads'!$P:$P))) * ('Master Leads'!$O:$O="Yes") * ('Master Leads'!$E:$E&gt;=IF(ISBLANK($B$5),0,$B$5)) * ('Master Leads'!$E:$E&lt;=IF(ISBLANK($D$5),99999,$D$5))))</f>
        <v/>
      </c>
      <c r="H44" s="396">
        <f>IF($A44="","",SUM(B44:G44))</f>
        <v/>
      </c>
      <c r="I44" s="387">
        <f>IF(OR($A44="",$H$54=0),"",H44/$H$54)</f>
        <v/>
      </c>
      <c r="J44" s="397">
        <f>IF(OR($A44="",H19=0),"",H44/H19)</f>
        <v/>
      </c>
    </row>
    <row r="45" ht="20" customHeight="1">
      <c r="A45" s="388">
        <f>IF(INDEX(Members!$A:$A,13)="","",INDEX(Members!$A:$A,13))</f>
        <v/>
      </c>
      <c r="B45" s="389">
        <f>IF($A45="","",SUMPRODUCT(('Master Leads'!$D:$D=$A45) * (ISNUMBER(SEARCH("6", 'Master Leads'!$P:$P))) * ('Master Leads'!$O:$O="Yes") * ('Master Leads'!$E:$E&gt;=IF(ISBLANK($B$5),0,$B$5)) * ('Master Leads'!$E:$E&lt;=IF(ISBLANK($D$5),99999,$D$5))))</f>
        <v/>
      </c>
      <c r="C45" s="389">
        <f>IF($A45="","",SUMPRODUCT(('Master Leads'!$D:$D=$A45) * (ISNUMBER(SEARCH("7", 'Master Leads'!$P:$P))) * ('Master Leads'!$O:$O="Yes") * ('Master Leads'!$E:$E&gt;=IF(ISBLANK($B$5),0,$B$5)) * ('Master Leads'!$E:$E&lt;=IF(ISBLANK($D$5),99999,$D$5))))</f>
        <v/>
      </c>
      <c r="D45" s="389">
        <f>IF($A45="","",SUMPRODUCT(('Master Leads'!$D:$D=$A45) * (ISNUMBER(SEARCH("8", 'Master Leads'!$P:$P))) * ('Master Leads'!$O:$O="Yes") * ('Master Leads'!$E:$E&gt;=IF(ISBLANK($B$5),0,$B$5)) * ('Master Leads'!$E:$E&lt;=IF(ISBLANK($D$5),99999,$D$5))))</f>
        <v/>
      </c>
      <c r="E45" s="389">
        <f>IF($A45="","",SUMPRODUCT(('Master Leads'!$D:$D=$A45) * (ISNUMBER(SEARCH("9", 'Master Leads'!$P:$P))) * ('Master Leads'!$O:$O="Yes") * ('Master Leads'!$E:$E&gt;=IF(ISBLANK($B$5),0,$B$5)) * ('Master Leads'!$E:$E&lt;=IF(ISBLANK($D$5),99999,$D$5))))</f>
        <v/>
      </c>
      <c r="F45" s="389">
        <f>IF($A45="","",SUMPRODUCT(('Master Leads'!$D:$D=$A45) * (ISNUMBER(SEARCH("10", 'Master Leads'!$P:$P))) * ('Master Leads'!$O:$O="Yes") * ('Master Leads'!$E:$E&gt;=IF(ISBLANK($B$5),0,$B$5)) * ('Master Leads'!$E:$E&lt;=IF(ISBLANK($D$5),99999,$D$5))))</f>
        <v/>
      </c>
      <c r="G45" s="389">
        <f>IF($A45="","",SUMPRODUCT(('Master Leads'!$D:$D=$A45) * (ISNUMBER(SEARCH("11", 'Master Leads'!$P:$P))) * ('Master Leads'!$O:$O="Yes") * ('Master Leads'!$E:$E&gt;=IF(ISBLANK($B$5),0,$B$5)) * ('Master Leads'!$E:$E&lt;=IF(ISBLANK($D$5),99999,$D$5))))</f>
        <v/>
      </c>
      <c r="H45" s="398">
        <f>IF($A45="","",SUM(B45:G45))</f>
        <v/>
      </c>
      <c r="I45" s="391">
        <f>IF(OR($A45="",$H$54=0),"",H45/$H$54)</f>
        <v/>
      </c>
      <c r="J45" s="399">
        <f>IF(OR($A45="",H20=0),"",H45/H20)</f>
        <v/>
      </c>
    </row>
    <row r="46" ht="20" customHeight="1">
      <c r="A46" s="384">
        <f>IF(INDEX(Members!$A:$A,14)="","",INDEX(Members!$A:$A,14))</f>
        <v/>
      </c>
      <c r="B46" s="385">
        <f>IF($A46="","",SUMPRODUCT(('Master Leads'!$D:$D=$A46) * (ISNUMBER(SEARCH("6", 'Master Leads'!$P:$P))) * ('Master Leads'!$O:$O="Yes") * ('Master Leads'!$E:$E&gt;=IF(ISBLANK($B$5),0,$B$5)) * ('Master Leads'!$E:$E&lt;=IF(ISBLANK($D$5),99999,$D$5))))</f>
        <v/>
      </c>
      <c r="C46" s="385">
        <f>IF($A46="","",SUMPRODUCT(('Master Leads'!$D:$D=$A46) * (ISNUMBER(SEARCH("7", 'Master Leads'!$P:$P))) * ('Master Leads'!$O:$O="Yes") * ('Master Leads'!$E:$E&gt;=IF(ISBLANK($B$5),0,$B$5)) * ('Master Leads'!$E:$E&lt;=IF(ISBLANK($D$5),99999,$D$5))))</f>
        <v/>
      </c>
      <c r="D46" s="385">
        <f>IF($A46="","",SUMPRODUCT(('Master Leads'!$D:$D=$A46) * (ISNUMBER(SEARCH("8", 'Master Leads'!$P:$P))) * ('Master Leads'!$O:$O="Yes") * ('Master Leads'!$E:$E&gt;=IF(ISBLANK($B$5),0,$B$5)) * ('Master Leads'!$E:$E&lt;=IF(ISBLANK($D$5),99999,$D$5))))</f>
        <v/>
      </c>
      <c r="E46" s="385">
        <f>IF($A46="","",SUMPRODUCT(('Master Leads'!$D:$D=$A46) * (ISNUMBER(SEARCH("9", 'Master Leads'!$P:$P))) * ('Master Leads'!$O:$O="Yes") * ('Master Leads'!$E:$E&gt;=IF(ISBLANK($B$5),0,$B$5)) * ('Master Leads'!$E:$E&lt;=IF(ISBLANK($D$5),99999,$D$5))))</f>
        <v/>
      </c>
      <c r="F46" s="385">
        <f>IF($A46="","",SUMPRODUCT(('Master Leads'!$D:$D=$A46) * (ISNUMBER(SEARCH("10", 'Master Leads'!$P:$P))) * ('Master Leads'!$O:$O="Yes") * ('Master Leads'!$E:$E&gt;=IF(ISBLANK($B$5),0,$B$5)) * ('Master Leads'!$E:$E&lt;=IF(ISBLANK($D$5),99999,$D$5))))</f>
        <v/>
      </c>
      <c r="G46" s="385">
        <f>IF($A46="","",SUMPRODUCT(('Master Leads'!$D:$D=$A46) * (ISNUMBER(SEARCH("11", 'Master Leads'!$P:$P))) * ('Master Leads'!$O:$O="Yes") * ('Master Leads'!$E:$E&gt;=IF(ISBLANK($B$5),0,$B$5)) * ('Master Leads'!$E:$E&lt;=IF(ISBLANK($D$5),99999,$D$5))))</f>
        <v/>
      </c>
      <c r="H46" s="396">
        <f>IF($A46="","",SUM(B46:G46))</f>
        <v/>
      </c>
      <c r="I46" s="387">
        <f>IF(OR($A46="",$H$54=0),"",H46/$H$54)</f>
        <v/>
      </c>
      <c r="J46" s="397">
        <f>IF(OR($A46="",H21=0),"",H46/H21)</f>
        <v/>
      </c>
    </row>
    <row r="47" ht="20" customHeight="1">
      <c r="A47" s="388">
        <f>IF(INDEX(Members!$A:$A,15)="","",INDEX(Members!$A:$A,15))</f>
        <v/>
      </c>
      <c r="B47" s="389">
        <f>IF($A47="","",SUMPRODUCT(('Master Leads'!$D:$D=$A47) * (ISNUMBER(SEARCH("6", 'Master Leads'!$P:$P))) * ('Master Leads'!$O:$O="Yes") * ('Master Leads'!$E:$E&gt;=IF(ISBLANK($B$5),0,$B$5)) * ('Master Leads'!$E:$E&lt;=IF(ISBLANK($D$5),99999,$D$5))))</f>
        <v/>
      </c>
      <c r="C47" s="389">
        <f>IF($A47="","",SUMPRODUCT(('Master Leads'!$D:$D=$A47) * (ISNUMBER(SEARCH("7", 'Master Leads'!$P:$P))) * ('Master Leads'!$O:$O="Yes") * ('Master Leads'!$E:$E&gt;=IF(ISBLANK($B$5),0,$B$5)) * ('Master Leads'!$E:$E&lt;=IF(ISBLANK($D$5),99999,$D$5))))</f>
        <v/>
      </c>
      <c r="D47" s="389">
        <f>IF($A47="","",SUMPRODUCT(('Master Leads'!$D:$D=$A47) * (ISNUMBER(SEARCH("8", 'Master Leads'!$P:$P))) * ('Master Leads'!$O:$O="Yes") * ('Master Leads'!$E:$E&gt;=IF(ISBLANK($B$5),0,$B$5)) * ('Master Leads'!$E:$E&lt;=IF(ISBLANK($D$5),99999,$D$5))))</f>
        <v/>
      </c>
      <c r="E47" s="389">
        <f>IF($A47="","",SUMPRODUCT(('Master Leads'!$D:$D=$A47) * (ISNUMBER(SEARCH("9", 'Master Leads'!$P:$P))) * ('Master Leads'!$O:$O="Yes") * ('Master Leads'!$E:$E&gt;=IF(ISBLANK($B$5),0,$B$5)) * ('Master Leads'!$E:$E&lt;=IF(ISBLANK($D$5),99999,$D$5))))</f>
        <v/>
      </c>
      <c r="F47" s="389">
        <f>IF($A47="","",SUMPRODUCT(('Master Leads'!$D:$D=$A47) * (ISNUMBER(SEARCH("10", 'Master Leads'!$P:$P))) * ('Master Leads'!$O:$O="Yes") * ('Master Leads'!$E:$E&gt;=IF(ISBLANK($B$5),0,$B$5)) * ('Master Leads'!$E:$E&lt;=IF(ISBLANK($D$5),99999,$D$5))))</f>
        <v/>
      </c>
      <c r="G47" s="389">
        <f>IF($A47="","",SUMPRODUCT(('Master Leads'!$D:$D=$A47) * (ISNUMBER(SEARCH("11", 'Master Leads'!$P:$P))) * ('Master Leads'!$O:$O="Yes") * ('Master Leads'!$E:$E&gt;=IF(ISBLANK($B$5),0,$B$5)) * ('Master Leads'!$E:$E&lt;=IF(ISBLANK($D$5),99999,$D$5))))</f>
        <v/>
      </c>
      <c r="H47" s="398">
        <f>IF($A47="","",SUM(B47:G47))</f>
        <v/>
      </c>
      <c r="I47" s="391">
        <f>IF(OR($A47="",$H$54=0),"",H47/$H$54)</f>
        <v/>
      </c>
      <c r="J47" s="399">
        <f>IF(OR($A47="",H22=0),"",H47/H22)</f>
        <v/>
      </c>
    </row>
    <row r="48" ht="20" customHeight="1">
      <c r="A48" s="384">
        <f>IF(INDEX(Members!$A:$A,16)="","",INDEX(Members!$A:$A,16))</f>
        <v/>
      </c>
      <c r="B48" s="385">
        <f>IF($A48="","",SUMPRODUCT(('Master Leads'!$D:$D=$A48) * (ISNUMBER(SEARCH("6", 'Master Leads'!$P:$P))) * ('Master Leads'!$O:$O="Yes") * ('Master Leads'!$E:$E&gt;=IF(ISBLANK($B$5),0,$B$5)) * ('Master Leads'!$E:$E&lt;=IF(ISBLANK($D$5),99999,$D$5))))</f>
        <v/>
      </c>
      <c r="C48" s="385">
        <f>IF($A48="","",SUMPRODUCT(('Master Leads'!$D:$D=$A48) * (ISNUMBER(SEARCH("7", 'Master Leads'!$P:$P))) * ('Master Leads'!$O:$O="Yes") * ('Master Leads'!$E:$E&gt;=IF(ISBLANK($B$5),0,$B$5)) * ('Master Leads'!$E:$E&lt;=IF(ISBLANK($D$5),99999,$D$5))))</f>
        <v/>
      </c>
      <c r="D48" s="385">
        <f>IF($A48="","",SUMPRODUCT(('Master Leads'!$D:$D=$A48) * (ISNUMBER(SEARCH("8", 'Master Leads'!$P:$P))) * ('Master Leads'!$O:$O="Yes") * ('Master Leads'!$E:$E&gt;=IF(ISBLANK($B$5),0,$B$5)) * ('Master Leads'!$E:$E&lt;=IF(ISBLANK($D$5),99999,$D$5))))</f>
        <v/>
      </c>
      <c r="E48" s="385">
        <f>IF($A48="","",SUMPRODUCT(('Master Leads'!$D:$D=$A48) * (ISNUMBER(SEARCH("9", 'Master Leads'!$P:$P))) * ('Master Leads'!$O:$O="Yes") * ('Master Leads'!$E:$E&gt;=IF(ISBLANK($B$5),0,$B$5)) * ('Master Leads'!$E:$E&lt;=IF(ISBLANK($D$5),99999,$D$5))))</f>
        <v/>
      </c>
      <c r="F48" s="385">
        <f>IF($A48="","",SUMPRODUCT(('Master Leads'!$D:$D=$A48) * (ISNUMBER(SEARCH("10", 'Master Leads'!$P:$P))) * ('Master Leads'!$O:$O="Yes") * ('Master Leads'!$E:$E&gt;=IF(ISBLANK($B$5),0,$B$5)) * ('Master Leads'!$E:$E&lt;=IF(ISBLANK($D$5),99999,$D$5))))</f>
        <v/>
      </c>
      <c r="G48" s="385">
        <f>IF($A48="","",SUMPRODUCT(('Master Leads'!$D:$D=$A48) * (ISNUMBER(SEARCH("11", 'Master Leads'!$P:$P))) * ('Master Leads'!$O:$O="Yes") * ('Master Leads'!$E:$E&gt;=IF(ISBLANK($B$5),0,$B$5)) * ('Master Leads'!$E:$E&lt;=IF(ISBLANK($D$5),99999,$D$5))))</f>
        <v/>
      </c>
      <c r="H48" s="396">
        <f>IF($A48="","",SUM(B48:G48))</f>
        <v/>
      </c>
      <c r="I48" s="387">
        <f>IF(OR($A48="",$H$54=0),"",H48/$H$54)</f>
        <v/>
      </c>
      <c r="J48" s="397">
        <f>IF(OR($A48="",H23=0),"",H48/H23)</f>
        <v/>
      </c>
    </row>
    <row r="49" ht="20" customHeight="1">
      <c r="A49" s="388">
        <f>IF(INDEX(Members!$A:$A,17)="","",INDEX(Members!$A:$A,17))</f>
        <v/>
      </c>
      <c r="B49" s="389">
        <f>IF($A49="","",SUMPRODUCT(('Master Leads'!$D:$D=$A49) * (ISNUMBER(SEARCH("6", 'Master Leads'!$P:$P))) * ('Master Leads'!$O:$O="Yes") * ('Master Leads'!$E:$E&gt;=IF(ISBLANK($B$5),0,$B$5)) * ('Master Leads'!$E:$E&lt;=IF(ISBLANK($D$5),99999,$D$5))))</f>
        <v/>
      </c>
      <c r="C49" s="389">
        <f>IF($A49="","",SUMPRODUCT(('Master Leads'!$D:$D=$A49) * (ISNUMBER(SEARCH("7", 'Master Leads'!$P:$P))) * ('Master Leads'!$O:$O="Yes") * ('Master Leads'!$E:$E&gt;=IF(ISBLANK($B$5),0,$B$5)) * ('Master Leads'!$E:$E&lt;=IF(ISBLANK($D$5),99999,$D$5))))</f>
        <v/>
      </c>
      <c r="D49" s="389">
        <f>IF($A49="","",SUMPRODUCT(('Master Leads'!$D:$D=$A49) * (ISNUMBER(SEARCH("8", 'Master Leads'!$P:$P))) * ('Master Leads'!$O:$O="Yes") * ('Master Leads'!$E:$E&gt;=IF(ISBLANK($B$5),0,$B$5)) * ('Master Leads'!$E:$E&lt;=IF(ISBLANK($D$5),99999,$D$5))))</f>
        <v/>
      </c>
      <c r="E49" s="389">
        <f>IF($A49="","",SUMPRODUCT(('Master Leads'!$D:$D=$A49) * (ISNUMBER(SEARCH("9", 'Master Leads'!$P:$P))) * ('Master Leads'!$O:$O="Yes") * ('Master Leads'!$E:$E&gt;=IF(ISBLANK($B$5),0,$B$5)) * ('Master Leads'!$E:$E&lt;=IF(ISBLANK($D$5),99999,$D$5))))</f>
        <v/>
      </c>
      <c r="F49" s="389">
        <f>IF($A49="","",SUMPRODUCT(('Master Leads'!$D:$D=$A49) * (ISNUMBER(SEARCH("10", 'Master Leads'!$P:$P))) * ('Master Leads'!$O:$O="Yes") * ('Master Leads'!$E:$E&gt;=IF(ISBLANK($B$5),0,$B$5)) * ('Master Leads'!$E:$E&lt;=IF(ISBLANK($D$5),99999,$D$5))))</f>
        <v/>
      </c>
      <c r="G49" s="389">
        <f>IF($A49="","",SUMPRODUCT(('Master Leads'!$D:$D=$A49) * (ISNUMBER(SEARCH("11", 'Master Leads'!$P:$P))) * ('Master Leads'!$O:$O="Yes") * ('Master Leads'!$E:$E&gt;=IF(ISBLANK($B$5),0,$B$5)) * ('Master Leads'!$E:$E&lt;=IF(ISBLANK($D$5),99999,$D$5))))</f>
        <v/>
      </c>
      <c r="H49" s="398">
        <f>IF($A49="","",SUM(B49:G49))</f>
        <v/>
      </c>
      <c r="I49" s="391">
        <f>IF(OR($A49="",$H$54=0),"",H49/$H$54)</f>
        <v/>
      </c>
      <c r="J49" s="399">
        <f>IF(OR($A49="",H24=0),"",H49/H24)</f>
        <v/>
      </c>
    </row>
    <row r="50" ht="20" customHeight="1">
      <c r="A50" s="384">
        <f>IF(INDEX(Members!$A:$A,18)="","",INDEX(Members!$A:$A,18))</f>
        <v/>
      </c>
      <c r="B50" s="385">
        <f>IF($A50="","",SUMPRODUCT(('Master Leads'!$D:$D=$A50) * (ISNUMBER(SEARCH("6", 'Master Leads'!$P:$P))) * ('Master Leads'!$O:$O="Yes") * ('Master Leads'!$E:$E&gt;=IF(ISBLANK($B$5),0,$B$5)) * ('Master Leads'!$E:$E&lt;=IF(ISBLANK($D$5),99999,$D$5))))</f>
        <v/>
      </c>
      <c r="C50" s="385">
        <f>IF($A50="","",SUMPRODUCT(('Master Leads'!$D:$D=$A50) * (ISNUMBER(SEARCH("7", 'Master Leads'!$P:$P))) * ('Master Leads'!$O:$O="Yes") * ('Master Leads'!$E:$E&gt;=IF(ISBLANK($B$5),0,$B$5)) * ('Master Leads'!$E:$E&lt;=IF(ISBLANK($D$5),99999,$D$5))))</f>
        <v/>
      </c>
      <c r="D50" s="385">
        <f>IF($A50="","",SUMPRODUCT(('Master Leads'!$D:$D=$A50) * (ISNUMBER(SEARCH("8", 'Master Leads'!$P:$P))) * ('Master Leads'!$O:$O="Yes") * ('Master Leads'!$E:$E&gt;=IF(ISBLANK($B$5),0,$B$5)) * ('Master Leads'!$E:$E&lt;=IF(ISBLANK($D$5),99999,$D$5))))</f>
        <v/>
      </c>
      <c r="E50" s="385">
        <f>IF($A50="","",SUMPRODUCT(('Master Leads'!$D:$D=$A50) * (ISNUMBER(SEARCH("9", 'Master Leads'!$P:$P))) * ('Master Leads'!$O:$O="Yes") * ('Master Leads'!$E:$E&gt;=IF(ISBLANK($B$5),0,$B$5)) * ('Master Leads'!$E:$E&lt;=IF(ISBLANK($D$5),99999,$D$5))))</f>
        <v/>
      </c>
      <c r="F50" s="385">
        <f>IF($A50="","",SUMPRODUCT(('Master Leads'!$D:$D=$A50) * (ISNUMBER(SEARCH("10", 'Master Leads'!$P:$P))) * ('Master Leads'!$O:$O="Yes") * ('Master Leads'!$E:$E&gt;=IF(ISBLANK($B$5),0,$B$5)) * ('Master Leads'!$E:$E&lt;=IF(ISBLANK($D$5),99999,$D$5))))</f>
        <v/>
      </c>
      <c r="G50" s="385">
        <f>IF($A50="","",SUMPRODUCT(('Master Leads'!$D:$D=$A50) * (ISNUMBER(SEARCH("11", 'Master Leads'!$P:$P))) * ('Master Leads'!$O:$O="Yes") * ('Master Leads'!$E:$E&gt;=IF(ISBLANK($B$5),0,$B$5)) * ('Master Leads'!$E:$E&lt;=IF(ISBLANK($D$5),99999,$D$5))))</f>
        <v/>
      </c>
      <c r="H50" s="396">
        <f>IF($A50="","",SUM(B50:G50))</f>
        <v/>
      </c>
      <c r="I50" s="387">
        <f>IF(OR($A50="",$H$54=0),"",H50/$H$54)</f>
        <v/>
      </c>
      <c r="J50" s="397">
        <f>IF(OR($A50="",H25=0),"",H50/H25)</f>
        <v/>
      </c>
    </row>
    <row r="51" ht="20" customHeight="1">
      <c r="A51" s="388">
        <f>IF(INDEX(Members!$A:$A,19)="","",INDEX(Members!$A:$A,19))</f>
        <v/>
      </c>
      <c r="B51" s="389">
        <f>IF($A51="","",SUMPRODUCT(('Master Leads'!$D:$D=$A51) * (ISNUMBER(SEARCH("6", 'Master Leads'!$P:$P))) * ('Master Leads'!$O:$O="Yes") * ('Master Leads'!$E:$E&gt;=IF(ISBLANK($B$5),0,$B$5)) * ('Master Leads'!$E:$E&lt;=IF(ISBLANK($D$5),99999,$D$5))))</f>
        <v/>
      </c>
      <c r="C51" s="389">
        <f>IF($A51="","",SUMPRODUCT(('Master Leads'!$D:$D=$A51) * (ISNUMBER(SEARCH("7", 'Master Leads'!$P:$P))) * ('Master Leads'!$O:$O="Yes") * ('Master Leads'!$E:$E&gt;=IF(ISBLANK($B$5),0,$B$5)) * ('Master Leads'!$E:$E&lt;=IF(ISBLANK($D$5),99999,$D$5))))</f>
        <v/>
      </c>
      <c r="D51" s="389">
        <f>IF($A51="","",SUMPRODUCT(('Master Leads'!$D:$D=$A51) * (ISNUMBER(SEARCH("8", 'Master Leads'!$P:$P))) * ('Master Leads'!$O:$O="Yes") * ('Master Leads'!$E:$E&gt;=IF(ISBLANK($B$5),0,$B$5)) * ('Master Leads'!$E:$E&lt;=IF(ISBLANK($D$5),99999,$D$5))))</f>
        <v/>
      </c>
      <c r="E51" s="389">
        <f>IF($A51="","",SUMPRODUCT(('Master Leads'!$D:$D=$A51) * (ISNUMBER(SEARCH("9", 'Master Leads'!$P:$P))) * ('Master Leads'!$O:$O="Yes") * ('Master Leads'!$E:$E&gt;=IF(ISBLANK($B$5),0,$B$5)) * ('Master Leads'!$E:$E&lt;=IF(ISBLANK($D$5),99999,$D$5))))</f>
        <v/>
      </c>
      <c r="F51" s="389">
        <f>IF($A51="","",SUMPRODUCT(('Master Leads'!$D:$D=$A51) * (ISNUMBER(SEARCH("10", 'Master Leads'!$P:$P))) * ('Master Leads'!$O:$O="Yes") * ('Master Leads'!$E:$E&gt;=IF(ISBLANK($B$5),0,$B$5)) * ('Master Leads'!$E:$E&lt;=IF(ISBLANK($D$5),99999,$D$5))))</f>
        <v/>
      </c>
      <c r="G51" s="389">
        <f>IF($A51="","",SUMPRODUCT(('Master Leads'!$D:$D=$A51) * (ISNUMBER(SEARCH("11", 'Master Leads'!$P:$P))) * ('Master Leads'!$O:$O="Yes") * ('Master Leads'!$E:$E&gt;=IF(ISBLANK($B$5),0,$B$5)) * ('Master Leads'!$E:$E&lt;=IF(ISBLANK($D$5),99999,$D$5))))</f>
        <v/>
      </c>
      <c r="H51" s="398">
        <f>IF($A51="","",SUM(B51:G51))</f>
        <v/>
      </c>
      <c r="I51" s="391">
        <f>IF(OR($A51="",$H$54=0),"",H51/$H$54)</f>
        <v/>
      </c>
      <c r="J51" s="399">
        <f>IF(OR($A51="",H26=0),"",H51/H26)</f>
        <v/>
      </c>
    </row>
    <row r="52" ht="20" customHeight="1">
      <c r="A52" s="384">
        <f>IF(INDEX(Members!$A:$A,20)="","",INDEX(Members!$A:$A,20))</f>
        <v/>
      </c>
      <c r="B52" s="385">
        <f>IF($A52="","",SUMPRODUCT(('Master Leads'!$D:$D=$A52) * (ISNUMBER(SEARCH("6", 'Master Leads'!$P:$P))) * ('Master Leads'!$O:$O="Yes") * ('Master Leads'!$E:$E&gt;=IF(ISBLANK($B$5),0,$B$5)) * ('Master Leads'!$E:$E&lt;=IF(ISBLANK($D$5),99999,$D$5))))</f>
        <v/>
      </c>
      <c r="C52" s="385">
        <f>IF($A52="","",SUMPRODUCT(('Master Leads'!$D:$D=$A52) * (ISNUMBER(SEARCH("7", 'Master Leads'!$P:$P))) * ('Master Leads'!$O:$O="Yes") * ('Master Leads'!$E:$E&gt;=IF(ISBLANK($B$5),0,$B$5)) * ('Master Leads'!$E:$E&lt;=IF(ISBLANK($D$5),99999,$D$5))))</f>
        <v/>
      </c>
      <c r="D52" s="385">
        <f>IF($A52="","",SUMPRODUCT(('Master Leads'!$D:$D=$A52) * (ISNUMBER(SEARCH("8", 'Master Leads'!$P:$P))) * ('Master Leads'!$O:$O="Yes") * ('Master Leads'!$E:$E&gt;=IF(ISBLANK($B$5),0,$B$5)) * ('Master Leads'!$E:$E&lt;=IF(ISBLANK($D$5),99999,$D$5))))</f>
        <v/>
      </c>
      <c r="E52" s="385">
        <f>IF($A52="","",SUMPRODUCT(('Master Leads'!$D:$D=$A52) * (ISNUMBER(SEARCH("9", 'Master Leads'!$P:$P))) * ('Master Leads'!$O:$O="Yes") * ('Master Leads'!$E:$E&gt;=IF(ISBLANK($B$5),0,$B$5)) * ('Master Leads'!$E:$E&lt;=IF(ISBLANK($D$5),99999,$D$5))))</f>
        <v/>
      </c>
      <c r="F52" s="385">
        <f>IF($A52="","",SUMPRODUCT(('Master Leads'!$D:$D=$A52) * (ISNUMBER(SEARCH("10", 'Master Leads'!$P:$P))) * ('Master Leads'!$O:$O="Yes") * ('Master Leads'!$E:$E&gt;=IF(ISBLANK($B$5),0,$B$5)) * ('Master Leads'!$E:$E&lt;=IF(ISBLANK($D$5),99999,$D$5))))</f>
        <v/>
      </c>
      <c r="G52" s="385">
        <f>IF($A52="","",SUMPRODUCT(('Master Leads'!$D:$D=$A52) * (ISNUMBER(SEARCH("11", 'Master Leads'!$P:$P))) * ('Master Leads'!$O:$O="Yes") * ('Master Leads'!$E:$E&gt;=IF(ISBLANK($B$5),0,$B$5)) * ('Master Leads'!$E:$E&lt;=IF(ISBLANK($D$5),99999,$D$5))))</f>
        <v/>
      </c>
      <c r="H52" s="396">
        <f>IF($A52="","",SUM(B52:G52))</f>
        <v/>
      </c>
      <c r="I52" s="387">
        <f>IF(OR($A52="",$H$54=0),"",H52/$H$54)</f>
        <v/>
      </c>
      <c r="J52" s="397">
        <f>IF(OR($A52="",H27=0),"",H52/H27)</f>
        <v/>
      </c>
    </row>
    <row r="53" ht="20" customHeight="1">
      <c r="A53" s="388">
        <f>IF(INDEX(Members!$A:$A,21)="","",INDEX(Members!$A:$A,21))</f>
        <v/>
      </c>
      <c r="B53" s="389">
        <f>IF($A53="","",SUMPRODUCT(('Master Leads'!$D:$D=$A53) * (ISNUMBER(SEARCH("6", 'Master Leads'!$P:$P))) * ('Master Leads'!$O:$O="Yes") * ('Master Leads'!$E:$E&gt;=IF(ISBLANK($B$5),0,$B$5)) * ('Master Leads'!$E:$E&lt;=IF(ISBLANK($D$5),99999,$D$5))))</f>
        <v/>
      </c>
      <c r="C53" s="389">
        <f>IF($A53="","",SUMPRODUCT(('Master Leads'!$D:$D=$A53) * (ISNUMBER(SEARCH("7", 'Master Leads'!$P:$P))) * ('Master Leads'!$O:$O="Yes") * ('Master Leads'!$E:$E&gt;=IF(ISBLANK($B$5),0,$B$5)) * ('Master Leads'!$E:$E&lt;=IF(ISBLANK($D$5),99999,$D$5))))</f>
        <v/>
      </c>
      <c r="D53" s="389">
        <f>IF($A53="","",SUMPRODUCT(('Master Leads'!$D:$D=$A53) * (ISNUMBER(SEARCH("8", 'Master Leads'!$P:$P))) * ('Master Leads'!$O:$O="Yes") * ('Master Leads'!$E:$E&gt;=IF(ISBLANK($B$5),0,$B$5)) * ('Master Leads'!$E:$E&lt;=IF(ISBLANK($D$5),99999,$D$5))))</f>
        <v/>
      </c>
      <c r="E53" s="389">
        <f>IF($A53="","",SUMPRODUCT(('Master Leads'!$D:$D=$A53) * (ISNUMBER(SEARCH("9", 'Master Leads'!$P:$P))) * ('Master Leads'!$O:$O="Yes") * ('Master Leads'!$E:$E&gt;=IF(ISBLANK($B$5),0,$B$5)) * ('Master Leads'!$E:$E&lt;=IF(ISBLANK($D$5),99999,$D$5))))</f>
        <v/>
      </c>
      <c r="F53" s="389">
        <f>IF($A53="","",SUMPRODUCT(('Master Leads'!$D:$D=$A53) * (ISNUMBER(SEARCH("10", 'Master Leads'!$P:$P))) * ('Master Leads'!$O:$O="Yes") * ('Master Leads'!$E:$E&gt;=IF(ISBLANK($B$5),0,$B$5)) * ('Master Leads'!$E:$E&lt;=IF(ISBLANK($D$5),99999,$D$5))))</f>
        <v/>
      </c>
      <c r="G53" s="389">
        <f>IF($A53="","",SUMPRODUCT(('Master Leads'!$D:$D=$A53) * (ISNUMBER(SEARCH("11", 'Master Leads'!$P:$P))) * ('Master Leads'!$O:$O="Yes") * ('Master Leads'!$E:$E&gt;=IF(ISBLANK($B$5),0,$B$5)) * ('Master Leads'!$E:$E&lt;=IF(ISBLANK($D$5),99999,$D$5))))</f>
        <v/>
      </c>
      <c r="H53" s="398">
        <f>IF($A53="","",SUM(B53:G53))</f>
        <v/>
      </c>
      <c r="I53" s="391">
        <f>IF(OR($A53="",$H$54=0),"",H53/$H$54)</f>
        <v/>
      </c>
      <c r="J53" s="399">
        <f>IF(OR($A53="",H28=0),"",H53/H28)</f>
        <v/>
      </c>
    </row>
    <row r="54" ht="22" customHeight="1">
      <c r="A54" s="400" t="inlineStr">
        <is>
          <t>TOTAL PAID</t>
        </is>
      </c>
      <c r="B54" s="400">
        <f>SUMPRODUCT((ISNUMBER(SEARCH("6", 'Master Leads'!$P:$P))) * ('Master Leads'!$O:$O="Yes") * ('Master Leads'!$E:$E&gt;=IF(ISBLANK($B$5),0,$B$5)) * ('Master Leads'!$E:$E&lt;=IF(ISBLANK($D$5),99999,$D$5)))</f>
        <v/>
      </c>
      <c r="C54" s="400">
        <f>SUMPRODUCT((ISNUMBER(SEARCH("7", 'Master Leads'!$P:$P))) * ('Master Leads'!$O:$O="Yes") * ('Master Leads'!$E:$E&gt;=IF(ISBLANK($B$5),0,$B$5)) * ('Master Leads'!$E:$E&lt;=IF(ISBLANK($D$5),99999,$D$5)))</f>
        <v/>
      </c>
      <c r="D54" s="400">
        <f>SUMPRODUCT((ISNUMBER(SEARCH("8", 'Master Leads'!$P:$P))) * ('Master Leads'!$O:$O="Yes") * ('Master Leads'!$E:$E&gt;=IF(ISBLANK($B$5),0,$B$5)) * ('Master Leads'!$E:$E&lt;=IF(ISBLANK($D$5),99999,$D$5)))</f>
        <v/>
      </c>
      <c r="E54" s="400">
        <f>SUMPRODUCT((ISNUMBER(SEARCH("9", 'Master Leads'!$P:$P))) * ('Master Leads'!$O:$O="Yes") * ('Master Leads'!$E:$E&gt;=IF(ISBLANK($B$5),0,$B$5)) * ('Master Leads'!$E:$E&lt;=IF(ISBLANK($D$5),99999,$D$5)))</f>
        <v/>
      </c>
      <c r="F54" s="400">
        <f>SUMPRODUCT((ISNUMBER(SEARCH("10", 'Master Leads'!$P:$P))) * ('Master Leads'!$O:$O="Yes") * ('Master Leads'!$E:$E&gt;=IF(ISBLANK($B$5),0,$B$5)) * ('Master Leads'!$E:$E&lt;=IF(ISBLANK($D$5),99999,$D$5)))</f>
        <v/>
      </c>
      <c r="G54" s="400">
        <f>SUMPRODUCT((ISNUMBER(SEARCH("11", 'Master Leads'!$P:$P))) * ('Master Leads'!$O:$O="Yes") * ('Master Leads'!$E:$E&gt;=IF(ISBLANK($B$5),0,$B$5)) * ('Master Leads'!$E:$E&lt;=IF(ISBLANK($D$5),99999,$D$5)))</f>
        <v/>
      </c>
      <c r="H54" s="400">
        <f>SUM(B54:G54)</f>
        <v/>
      </c>
      <c r="I54" s="401" t="n">
        <v>1</v>
      </c>
      <c r="J54" s="401">
        <f>IF(H29=0,"",H54/H29)</f>
        <v/>
      </c>
    </row>
    <row r="55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</row>
    <row r="56">
      <c r="A56" s="38" t="n"/>
      <c r="B56" s="38" t="n"/>
      <c r="C56" s="38" t="n"/>
      <c r="D56" s="38" t="n"/>
      <c r="E56" s="38" t="n"/>
      <c r="F56" s="38" t="n"/>
      <c r="G56" s="38" t="n"/>
      <c r="H56" s="38" t="n"/>
      <c r="I56" s="38" t="n"/>
      <c r="J56" s="38" t="n"/>
    </row>
    <row r="57" ht="24" customHeight="1">
      <c r="A57" s="153" t="inlineStr">
        <is>
          <t>TABLE 3: UNRESOLVED LEADS PIPELINE BY MEMBER</t>
        </is>
      </c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</row>
    <row r="58" ht="24" customHeight="1">
      <c r="A58" s="402" t="inlineStr">
        <is>
          <t>Assigned Member</t>
        </is>
      </c>
      <c r="B58" s="403" t="inlineStr">
        <is>
          <t>New Leads</t>
        </is>
      </c>
      <c r="C58" s="403" t="inlineStr">
        <is>
          <t>Contacted</t>
        </is>
      </c>
      <c r="D58" s="403" t="inlineStr">
        <is>
          <t>No Answer</t>
        </is>
      </c>
      <c r="E58" s="403" t="inlineStr">
        <is>
          <t>Interested</t>
        </is>
      </c>
      <c r="F58" s="403" t="inlineStr">
        <is>
          <t>Other Pending</t>
        </is>
      </c>
      <c r="G58" s="402" t="inlineStr">
        <is>
          <t>Total Unresolved</t>
        </is>
      </c>
      <c r="H58" s="402" t="inlineStr">
        <is>
          <t>Unresolved %</t>
        </is>
      </c>
      <c r="I58" s="402" t="inlineStr">
        <is>
          <t>Actionable Rate</t>
        </is>
      </c>
      <c r="J58" s="38" t="n"/>
    </row>
    <row r="59" ht="20" customHeight="1">
      <c r="A59" s="384">
        <f>IF(INDEX(Members!$A:$A,2)="","",INDEX(Members!$A:$A,2))</f>
        <v/>
      </c>
      <c r="B59" s="385">
        <f>IF($A59="","",COUNTIFS('Master Leads'!$D:$D,$A59,'Master Leads'!$F:$F,"New",'Master Leads'!$E:$E,"&gt;="&amp;IF(ISBLANK($B$5),0,$B$5),'Master Leads'!$E:$E,"&lt;="&amp;IF(ISBLANK($D$5),99999,$D$5)))</f>
        <v/>
      </c>
      <c r="C59" s="385">
        <f>IF($A59="","",COUNTIFS('Master Leads'!$D:$D,$A59,'Master Leads'!$F:$F,"Contacted",'Master Leads'!$E:$E,"&gt;="&amp;IF(ISBLANK($B$5),0,$B$5),'Master Leads'!$E:$E,"&lt;="&amp;IF(ISBLANK($D$5),99999,$D$5)))</f>
        <v/>
      </c>
      <c r="D59" s="385">
        <f>IF($A59="","",COUNTIFS('Master Leads'!$D:$D,$A59,'Master Leads'!$F:$F,"No Answer",'Master Leads'!$E:$E,"&gt;="&amp;IF(ISBLANK($B$5),0,$B$5),'Master Leads'!$E:$E,"&lt;="&amp;IF(ISBLANK($D$5),99999,$D$5)))</f>
        <v/>
      </c>
      <c r="E59" s="385">
        <f>IF($A59="","",COUNTIFS('Master Leads'!$D:$D,$A59,'Master Leads'!$F:$F,"Interested",'Master Leads'!$E:$E,"&gt;="&amp;IF(ISBLANK($B$5),0,$B$5),'Master Leads'!$E:$E,"&lt;="&amp;IF(ISBLANK($D$5),99999,$D$5)))</f>
        <v/>
      </c>
      <c r="F59" s="385">
        <f>IF($A59="","",COUNTIFS('Master Leads'!$D:$D,$A59,'Master Leads'!$E:$E,"&gt;="&amp;IF(ISBLANK($B$5),0,$B$5),'Master Leads'!$E:$E,"&lt;="&amp;IF(ISBLANK($D$5),99999,$D$5))-COUNTIFS('Master Leads'!$D:$D,$A59,'Master Leads'!$F:$F,"Converted",'Master Leads'!$E:$E,"&gt;="&amp;IF(ISBLANK($B$5),0,$B$5),'Master Leads'!$E:$E,"&lt;="&amp;IF(ISBLANK($D$5),99999,$D$5))-COUNTIFS('Master Leads'!$D:$D,$A59,'Master Leads'!$F:$F,"Not Interested",'Master Leads'!$E:$E,"&gt;="&amp;IF(ISBLANK($B$5),0,$B$5),'Master Leads'!$E:$E,"&lt;="&amp;IF(ISBLANK($D$5),99999,$D$5))-B59-C59-D59-E59)</f>
        <v/>
      </c>
      <c r="G59" s="404">
        <f>IF($A59="","",SUM(B59:F59))</f>
        <v/>
      </c>
      <c r="H59" s="387">
        <f>IF(OR($A59="",H9=0),"",G59/H9)</f>
        <v/>
      </c>
      <c r="I59" s="405">
        <f>IF(OR($A59="",H9=0),"",(B59+E59+F59)/H9)</f>
        <v/>
      </c>
      <c r="J59" s="38" t="n"/>
    </row>
    <row r="60" ht="20" customHeight="1">
      <c r="A60" s="388">
        <f>IF(INDEX(Members!$A:$A,3)="","",INDEX(Members!$A:$A,3))</f>
        <v/>
      </c>
      <c r="B60" s="389">
        <f>IF($A60="","",COUNTIFS('Master Leads'!$D:$D,$A60,'Master Leads'!$F:$F,"New",'Master Leads'!$E:$E,"&gt;="&amp;IF(ISBLANK($B$5),0,$B$5),'Master Leads'!$E:$E,"&lt;="&amp;IF(ISBLANK($D$5),99999,$D$5)))</f>
        <v/>
      </c>
      <c r="C60" s="389">
        <f>IF($A60="","",COUNTIFS('Master Leads'!$D:$D,$A60,'Master Leads'!$F:$F,"Contacted",'Master Leads'!$E:$E,"&gt;="&amp;IF(ISBLANK($B$5),0,$B$5),'Master Leads'!$E:$E,"&lt;="&amp;IF(ISBLANK($D$5),99999,$D$5)))</f>
        <v/>
      </c>
      <c r="D60" s="389">
        <f>IF($A60="","",COUNTIFS('Master Leads'!$D:$D,$A60,'Master Leads'!$F:$F,"No Answer",'Master Leads'!$E:$E,"&gt;="&amp;IF(ISBLANK($B$5),0,$B$5),'Master Leads'!$E:$E,"&lt;="&amp;IF(ISBLANK($D$5),99999,$D$5)))</f>
        <v/>
      </c>
      <c r="E60" s="389">
        <f>IF($A60="","",COUNTIFS('Master Leads'!$D:$D,$A60,'Master Leads'!$F:$F,"Interested",'Master Leads'!$E:$E,"&gt;="&amp;IF(ISBLANK($B$5),0,$B$5),'Master Leads'!$E:$E,"&lt;="&amp;IF(ISBLANK($D$5),99999,$D$5)))</f>
        <v/>
      </c>
      <c r="F60" s="389">
        <f>IF($A60="","",COUNTIFS('Master Leads'!$D:$D,$A60,'Master Leads'!$E:$E,"&gt;="&amp;IF(ISBLANK($B$5),0,$B$5),'Master Leads'!$E:$E,"&lt;="&amp;IF(ISBLANK($D$5),99999,$D$5))-COUNTIFS('Master Leads'!$D:$D,$A60,'Master Leads'!$F:$F,"Converted",'Master Leads'!$E:$E,"&gt;="&amp;IF(ISBLANK($B$5),0,$B$5),'Master Leads'!$E:$E,"&lt;="&amp;IF(ISBLANK($D$5),99999,$D$5))-COUNTIFS('Master Leads'!$D:$D,$A60,'Master Leads'!$F:$F,"Not Interested",'Master Leads'!$E:$E,"&gt;="&amp;IF(ISBLANK($B$5),0,$B$5),'Master Leads'!$E:$E,"&lt;="&amp;IF(ISBLANK($D$5),99999,$D$5))-B60-C60-D60-E60)</f>
        <v/>
      </c>
      <c r="G60" s="406">
        <f>IF($A60="","",SUM(B60:F60))</f>
        <v/>
      </c>
      <c r="H60" s="391">
        <f>IF(OR($A60="",H10=0),"",G60/H10)</f>
        <v/>
      </c>
      <c r="I60" s="407">
        <f>IF(OR($A60="",H10=0),"",(B60+E60+F60)/H10)</f>
        <v/>
      </c>
      <c r="J60" s="38" t="n"/>
    </row>
    <row r="61" ht="20" customHeight="1">
      <c r="A61" s="384">
        <f>IF(INDEX(Members!$A:$A,4)="","",INDEX(Members!$A:$A,4))</f>
        <v/>
      </c>
      <c r="B61" s="385">
        <f>IF($A61="","",COUNTIFS('Master Leads'!$D:$D,$A61,'Master Leads'!$F:$F,"New",'Master Leads'!$E:$E,"&gt;="&amp;IF(ISBLANK($B$5),0,$B$5),'Master Leads'!$E:$E,"&lt;="&amp;IF(ISBLANK($D$5),99999,$D$5)))</f>
        <v/>
      </c>
      <c r="C61" s="385">
        <f>IF($A61="","",COUNTIFS('Master Leads'!$D:$D,$A61,'Master Leads'!$F:$F,"Contacted",'Master Leads'!$E:$E,"&gt;="&amp;IF(ISBLANK($B$5),0,$B$5),'Master Leads'!$E:$E,"&lt;="&amp;IF(ISBLANK($D$5),99999,$D$5)))</f>
        <v/>
      </c>
      <c r="D61" s="385">
        <f>IF($A61="","",COUNTIFS('Master Leads'!$D:$D,$A61,'Master Leads'!$F:$F,"No Answer",'Master Leads'!$E:$E,"&gt;="&amp;IF(ISBLANK($B$5),0,$B$5),'Master Leads'!$E:$E,"&lt;="&amp;IF(ISBLANK($D$5),99999,$D$5)))</f>
        <v/>
      </c>
      <c r="E61" s="385">
        <f>IF($A61="","",COUNTIFS('Master Leads'!$D:$D,$A61,'Master Leads'!$F:$F,"Interested",'Master Leads'!$E:$E,"&gt;="&amp;IF(ISBLANK($B$5),0,$B$5),'Master Leads'!$E:$E,"&lt;="&amp;IF(ISBLANK($D$5),99999,$D$5)))</f>
        <v/>
      </c>
      <c r="F61" s="385">
        <f>IF($A61="","",COUNTIFS('Master Leads'!$D:$D,$A61,'Master Leads'!$E:$E,"&gt;="&amp;IF(ISBLANK($B$5),0,$B$5),'Master Leads'!$E:$E,"&lt;="&amp;IF(ISBLANK($D$5),99999,$D$5))-COUNTIFS('Master Leads'!$D:$D,$A61,'Master Leads'!$F:$F,"Converted",'Master Leads'!$E:$E,"&gt;="&amp;IF(ISBLANK($B$5),0,$B$5),'Master Leads'!$E:$E,"&lt;="&amp;IF(ISBLANK($D$5),99999,$D$5))-COUNTIFS('Master Leads'!$D:$D,$A61,'Master Leads'!$F:$F,"Not Interested",'Master Leads'!$E:$E,"&gt;="&amp;IF(ISBLANK($B$5),0,$B$5),'Master Leads'!$E:$E,"&lt;="&amp;IF(ISBLANK($D$5),99999,$D$5))-B61-C61-D61-E61)</f>
        <v/>
      </c>
      <c r="G61" s="404">
        <f>IF($A61="","",SUM(B61:F61))</f>
        <v/>
      </c>
      <c r="H61" s="387">
        <f>IF(OR($A61="",H11=0),"",G61/H11)</f>
        <v/>
      </c>
      <c r="I61" s="405">
        <f>IF(OR($A61="",H11=0),"",(B61+E61+F61)/H11)</f>
        <v/>
      </c>
      <c r="J61" s="38" t="n"/>
    </row>
    <row r="62" ht="20" customHeight="1">
      <c r="A62" s="388">
        <f>IF(INDEX(Members!$A:$A,5)="","",INDEX(Members!$A:$A,5))</f>
        <v/>
      </c>
      <c r="B62" s="389">
        <f>IF($A62="","",COUNTIFS('Master Leads'!$D:$D,$A62,'Master Leads'!$F:$F,"New",'Master Leads'!$E:$E,"&gt;="&amp;IF(ISBLANK($B$5),0,$B$5),'Master Leads'!$E:$E,"&lt;="&amp;IF(ISBLANK($D$5),99999,$D$5)))</f>
        <v/>
      </c>
      <c r="C62" s="389">
        <f>IF($A62="","",COUNTIFS('Master Leads'!$D:$D,$A62,'Master Leads'!$F:$F,"Contacted",'Master Leads'!$E:$E,"&gt;="&amp;IF(ISBLANK($B$5),0,$B$5),'Master Leads'!$E:$E,"&lt;="&amp;IF(ISBLANK($D$5),99999,$D$5)))</f>
        <v/>
      </c>
      <c r="D62" s="389">
        <f>IF($A62="","",COUNTIFS('Master Leads'!$D:$D,$A62,'Master Leads'!$F:$F,"No Answer",'Master Leads'!$E:$E,"&gt;="&amp;IF(ISBLANK($B$5),0,$B$5),'Master Leads'!$E:$E,"&lt;="&amp;IF(ISBLANK($D$5),99999,$D$5)))</f>
        <v/>
      </c>
      <c r="E62" s="389">
        <f>IF($A62="","",COUNTIFS('Master Leads'!$D:$D,$A62,'Master Leads'!$F:$F,"Interested",'Master Leads'!$E:$E,"&gt;="&amp;IF(ISBLANK($B$5),0,$B$5),'Master Leads'!$E:$E,"&lt;="&amp;IF(ISBLANK($D$5),99999,$D$5)))</f>
        <v/>
      </c>
      <c r="F62" s="389">
        <f>IF($A62="","",COUNTIFS('Master Leads'!$D:$D,$A62,'Master Leads'!$E:$E,"&gt;="&amp;IF(ISBLANK($B$5),0,$B$5),'Master Leads'!$E:$E,"&lt;="&amp;IF(ISBLANK($D$5),99999,$D$5))-COUNTIFS('Master Leads'!$D:$D,$A62,'Master Leads'!$F:$F,"Converted",'Master Leads'!$E:$E,"&gt;="&amp;IF(ISBLANK($B$5),0,$B$5),'Master Leads'!$E:$E,"&lt;="&amp;IF(ISBLANK($D$5),99999,$D$5))-COUNTIFS('Master Leads'!$D:$D,$A62,'Master Leads'!$F:$F,"Not Interested",'Master Leads'!$E:$E,"&gt;="&amp;IF(ISBLANK($B$5),0,$B$5),'Master Leads'!$E:$E,"&lt;="&amp;IF(ISBLANK($D$5),99999,$D$5))-B62-C62-D62-E62)</f>
        <v/>
      </c>
      <c r="G62" s="406">
        <f>IF($A62="","",SUM(B62:F62))</f>
        <v/>
      </c>
      <c r="H62" s="391">
        <f>IF(OR($A62="",H12=0),"",G62/H12)</f>
        <v/>
      </c>
      <c r="I62" s="407">
        <f>IF(OR($A62="",H12=0),"",(B62+E62+F62)/H12)</f>
        <v/>
      </c>
      <c r="J62" s="38" t="n"/>
    </row>
    <row r="63" ht="20" customHeight="1">
      <c r="A63" s="384">
        <f>IF(INDEX(Members!$A:$A,6)="","",INDEX(Members!$A:$A,6))</f>
        <v/>
      </c>
      <c r="B63" s="385">
        <f>IF($A63="","",COUNTIFS('Master Leads'!$D:$D,$A63,'Master Leads'!$F:$F,"New",'Master Leads'!$E:$E,"&gt;="&amp;IF(ISBLANK($B$5),0,$B$5),'Master Leads'!$E:$E,"&lt;="&amp;IF(ISBLANK($D$5),99999,$D$5)))</f>
        <v/>
      </c>
      <c r="C63" s="385">
        <f>IF($A63="","",COUNTIFS('Master Leads'!$D:$D,$A63,'Master Leads'!$F:$F,"Contacted",'Master Leads'!$E:$E,"&gt;="&amp;IF(ISBLANK($B$5),0,$B$5),'Master Leads'!$E:$E,"&lt;="&amp;IF(ISBLANK($D$5),99999,$D$5)))</f>
        <v/>
      </c>
      <c r="D63" s="385">
        <f>IF($A63="","",COUNTIFS('Master Leads'!$D:$D,$A63,'Master Leads'!$F:$F,"No Answer",'Master Leads'!$E:$E,"&gt;="&amp;IF(ISBLANK($B$5),0,$B$5),'Master Leads'!$E:$E,"&lt;="&amp;IF(ISBLANK($D$5),99999,$D$5)))</f>
        <v/>
      </c>
      <c r="E63" s="385">
        <f>IF($A63="","",COUNTIFS('Master Leads'!$D:$D,$A63,'Master Leads'!$F:$F,"Interested",'Master Leads'!$E:$E,"&gt;="&amp;IF(ISBLANK($B$5),0,$B$5),'Master Leads'!$E:$E,"&lt;="&amp;IF(ISBLANK($D$5),99999,$D$5)))</f>
        <v/>
      </c>
      <c r="F63" s="385">
        <f>IF($A63="","",COUNTIFS('Master Leads'!$D:$D,$A63,'Master Leads'!$E:$E,"&gt;="&amp;IF(ISBLANK($B$5),0,$B$5),'Master Leads'!$E:$E,"&lt;="&amp;IF(ISBLANK($D$5),99999,$D$5))-COUNTIFS('Master Leads'!$D:$D,$A63,'Master Leads'!$F:$F,"Converted",'Master Leads'!$E:$E,"&gt;="&amp;IF(ISBLANK($B$5),0,$B$5),'Master Leads'!$E:$E,"&lt;="&amp;IF(ISBLANK($D$5),99999,$D$5))-COUNTIFS('Master Leads'!$D:$D,$A63,'Master Leads'!$F:$F,"Not Interested",'Master Leads'!$E:$E,"&gt;="&amp;IF(ISBLANK($B$5),0,$B$5),'Master Leads'!$E:$E,"&lt;="&amp;IF(ISBLANK($D$5),99999,$D$5))-B63-C63-D63-E63)</f>
        <v/>
      </c>
      <c r="G63" s="404">
        <f>IF($A63="","",SUM(B63:F63))</f>
        <v/>
      </c>
      <c r="H63" s="387">
        <f>IF(OR($A63="",H13=0),"",G63/H13)</f>
        <v/>
      </c>
      <c r="I63" s="405">
        <f>IF(OR($A63="",H13=0),"",(B63+E63+F63)/H13)</f>
        <v/>
      </c>
      <c r="J63" s="38" t="n"/>
    </row>
    <row r="64" ht="20" customHeight="1">
      <c r="A64" s="388">
        <f>IF(INDEX(Members!$A:$A,7)="","",INDEX(Members!$A:$A,7))</f>
        <v/>
      </c>
      <c r="B64" s="389">
        <f>IF($A64="","",COUNTIFS('Master Leads'!$D:$D,$A64,'Master Leads'!$F:$F,"New",'Master Leads'!$E:$E,"&gt;="&amp;IF(ISBLANK($B$5),0,$B$5),'Master Leads'!$E:$E,"&lt;="&amp;IF(ISBLANK($D$5),99999,$D$5)))</f>
        <v/>
      </c>
      <c r="C64" s="389">
        <f>IF($A64="","",COUNTIFS('Master Leads'!$D:$D,$A64,'Master Leads'!$F:$F,"Contacted",'Master Leads'!$E:$E,"&gt;="&amp;IF(ISBLANK($B$5),0,$B$5),'Master Leads'!$E:$E,"&lt;="&amp;IF(ISBLANK($D$5),99999,$D$5)))</f>
        <v/>
      </c>
      <c r="D64" s="389">
        <f>IF($A64="","",COUNTIFS('Master Leads'!$D:$D,$A64,'Master Leads'!$F:$F,"No Answer",'Master Leads'!$E:$E,"&gt;="&amp;IF(ISBLANK($B$5),0,$B$5),'Master Leads'!$E:$E,"&lt;="&amp;IF(ISBLANK($D$5),99999,$D$5)))</f>
        <v/>
      </c>
      <c r="E64" s="389">
        <f>IF($A64="","",COUNTIFS('Master Leads'!$D:$D,$A64,'Master Leads'!$F:$F,"Interested",'Master Leads'!$E:$E,"&gt;="&amp;IF(ISBLANK($B$5),0,$B$5),'Master Leads'!$E:$E,"&lt;="&amp;IF(ISBLANK($D$5),99999,$D$5)))</f>
        <v/>
      </c>
      <c r="F64" s="389">
        <f>IF($A64="","",COUNTIFS('Master Leads'!$D:$D,$A64,'Master Leads'!$E:$E,"&gt;="&amp;IF(ISBLANK($B$5),0,$B$5),'Master Leads'!$E:$E,"&lt;="&amp;IF(ISBLANK($D$5),99999,$D$5))-COUNTIFS('Master Leads'!$D:$D,$A64,'Master Leads'!$F:$F,"Converted",'Master Leads'!$E:$E,"&gt;="&amp;IF(ISBLANK($B$5),0,$B$5),'Master Leads'!$E:$E,"&lt;="&amp;IF(ISBLANK($D$5),99999,$D$5))-COUNTIFS('Master Leads'!$D:$D,$A64,'Master Leads'!$F:$F,"Not Interested",'Master Leads'!$E:$E,"&gt;="&amp;IF(ISBLANK($B$5),0,$B$5),'Master Leads'!$E:$E,"&lt;="&amp;IF(ISBLANK($D$5),99999,$D$5))-B64-C64-D64-E64)</f>
        <v/>
      </c>
      <c r="G64" s="406">
        <f>IF($A64="","",SUM(B64:F64))</f>
        <v/>
      </c>
      <c r="H64" s="391">
        <f>IF(OR($A64="",H14=0),"",G64/H14)</f>
        <v/>
      </c>
      <c r="I64" s="407">
        <f>IF(OR($A64="",H14=0),"",(B64+E64+F64)/H14)</f>
        <v/>
      </c>
      <c r="J64" s="38" t="n"/>
    </row>
    <row r="65" ht="20" customHeight="1">
      <c r="A65" s="384">
        <f>IF(INDEX(Members!$A:$A,8)="","",INDEX(Members!$A:$A,8))</f>
        <v/>
      </c>
      <c r="B65" s="385">
        <f>IF($A65="","",COUNTIFS('Master Leads'!$D:$D,$A65,'Master Leads'!$F:$F,"New",'Master Leads'!$E:$E,"&gt;="&amp;IF(ISBLANK($B$5),0,$B$5),'Master Leads'!$E:$E,"&lt;="&amp;IF(ISBLANK($D$5),99999,$D$5)))</f>
        <v/>
      </c>
      <c r="C65" s="385">
        <f>IF($A65="","",COUNTIFS('Master Leads'!$D:$D,$A65,'Master Leads'!$F:$F,"Contacted",'Master Leads'!$E:$E,"&gt;="&amp;IF(ISBLANK($B$5),0,$B$5),'Master Leads'!$E:$E,"&lt;="&amp;IF(ISBLANK($D$5),99999,$D$5)))</f>
        <v/>
      </c>
      <c r="D65" s="385">
        <f>IF($A65="","",COUNTIFS('Master Leads'!$D:$D,$A65,'Master Leads'!$F:$F,"No Answer",'Master Leads'!$E:$E,"&gt;="&amp;IF(ISBLANK($B$5),0,$B$5),'Master Leads'!$E:$E,"&lt;="&amp;IF(ISBLANK($D$5),99999,$D$5)))</f>
        <v/>
      </c>
      <c r="E65" s="385">
        <f>IF($A65="","",COUNTIFS('Master Leads'!$D:$D,$A65,'Master Leads'!$F:$F,"Interested",'Master Leads'!$E:$E,"&gt;="&amp;IF(ISBLANK($B$5),0,$B$5),'Master Leads'!$E:$E,"&lt;="&amp;IF(ISBLANK($D$5),99999,$D$5)))</f>
        <v/>
      </c>
      <c r="F65" s="385">
        <f>IF($A65="","",COUNTIFS('Master Leads'!$D:$D,$A65,'Master Leads'!$E:$E,"&gt;="&amp;IF(ISBLANK($B$5),0,$B$5),'Master Leads'!$E:$E,"&lt;="&amp;IF(ISBLANK($D$5),99999,$D$5))-COUNTIFS('Master Leads'!$D:$D,$A65,'Master Leads'!$F:$F,"Converted",'Master Leads'!$E:$E,"&gt;="&amp;IF(ISBLANK($B$5),0,$B$5),'Master Leads'!$E:$E,"&lt;="&amp;IF(ISBLANK($D$5),99999,$D$5))-COUNTIFS('Master Leads'!$D:$D,$A65,'Master Leads'!$F:$F,"Not Interested",'Master Leads'!$E:$E,"&gt;="&amp;IF(ISBLANK($B$5),0,$B$5),'Master Leads'!$E:$E,"&lt;="&amp;IF(ISBLANK($D$5),99999,$D$5))-B65-C65-D65-E65)</f>
        <v/>
      </c>
      <c r="G65" s="404">
        <f>IF($A65="","",SUM(B65:F65))</f>
        <v/>
      </c>
      <c r="H65" s="387">
        <f>IF(OR($A65="",H15=0),"",G65/H15)</f>
        <v/>
      </c>
      <c r="I65" s="405">
        <f>IF(OR($A65="",H15=0),"",(B65+E65+F65)/H15)</f>
        <v/>
      </c>
      <c r="J65" s="38" t="n"/>
    </row>
    <row r="66" ht="20" customHeight="1">
      <c r="A66" s="388">
        <f>IF(INDEX(Members!$A:$A,9)="","",INDEX(Members!$A:$A,9))</f>
        <v/>
      </c>
      <c r="B66" s="389">
        <f>IF($A66="","",COUNTIFS('Master Leads'!$D:$D,$A66,'Master Leads'!$F:$F,"New",'Master Leads'!$E:$E,"&gt;="&amp;IF(ISBLANK($B$5),0,$B$5),'Master Leads'!$E:$E,"&lt;="&amp;IF(ISBLANK($D$5),99999,$D$5)))</f>
        <v/>
      </c>
      <c r="C66" s="389">
        <f>IF($A66="","",COUNTIFS('Master Leads'!$D:$D,$A66,'Master Leads'!$F:$F,"Contacted",'Master Leads'!$E:$E,"&gt;="&amp;IF(ISBLANK($B$5),0,$B$5),'Master Leads'!$E:$E,"&lt;="&amp;IF(ISBLANK($D$5),99999,$D$5)))</f>
        <v/>
      </c>
      <c r="D66" s="389">
        <f>IF($A66="","",COUNTIFS('Master Leads'!$D:$D,$A66,'Master Leads'!$F:$F,"No Answer",'Master Leads'!$E:$E,"&gt;="&amp;IF(ISBLANK($B$5),0,$B$5),'Master Leads'!$E:$E,"&lt;="&amp;IF(ISBLANK($D$5),99999,$D$5)))</f>
        <v/>
      </c>
      <c r="E66" s="389">
        <f>IF($A66="","",COUNTIFS('Master Leads'!$D:$D,$A66,'Master Leads'!$F:$F,"Interested",'Master Leads'!$E:$E,"&gt;="&amp;IF(ISBLANK($B$5),0,$B$5),'Master Leads'!$E:$E,"&lt;="&amp;IF(ISBLANK($D$5),99999,$D$5)))</f>
        <v/>
      </c>
      <c r="F66" s="389">
        <f>IF($A66="","",COUNTIFS('Master Leads'!$D:$D,$A66,'Master Leads'!$E:$E,"&gt;="&amp;IF(ISBLANK($B$5),0,$B$5),'Master Leads'!$E:$E,"&lt;="&amp;IF(ISBLANK($D$5),99999,$D$5))-COUNTIFS('Master Leads'!$D:$D,$A66,'Master Leads'!$F:$F,"Converted",'Master Leads'!$E:$E,"&gt;="&amp;IF(ISBLANK($B$5),0,$B$5),'Master Leads'!$E:$E,"&lt;="&amp;IF(ISBLANK($D$5),99999,$D$5))-COUNTIFS('Master Leads'!$D:$D,$A66,'Master Leads'!$F:$F,"Not Interested",'Master Leads'!$E:$E,"&gt;="&amp;IF(ISBLANK($B$5),0,$B$5),'Master Leads'!$E:$E,"&lt;="&amp;IF(ISBLANK($D$5),99999,$D$5))-B66-C66-D66-E66)</f>
        <v/>
      </c>
      <c r="G66" s="406">
        <f>IF($A66="","",SUM(B66:F66))</f>
        <v/>
      </c>
      <c r="H66" s="391">
        <f>IF(OR($A66="",H16=0),"",G66/H16)</f>
        <v/>
      </c>
      <c r="I66" s="407">
        <f>IF(OR($A66="",H16=0),"",(B66+E66+F66)/H16)</f>
        <v/>
      </c>
      <c r="J66" s="38" t="n"/>
    </row>
    <row r="67" ht="20" customHeight="1">
      <c r="A67" s="384">
        <f>IF(INDEX(Members!$A:$A,10)="","",INDEX(Members!$A:$A,10))</f>
        <v/>
      </c>
      <c r="B67" s="385">
        <f>IF($A67="","",COUNTIFS('Master Leads'!$D:$D,$A67,'Master Leads'!$F:$F,"New",'Master Leads'!$E:$E,"&gt;="&amp;IF(ISBLANK($B$5),0,$B$5),'Master Leads'!$E:$E,"&lt;="&amp;IF(ISBLANK($D$5),99999,$D$5)))</f>
        <v/>
      </c>
      <c r="C67" s="385">
        <f>IF($A67="","",COUNTIFS('Master Leads'!$D:$D,$A67,'Master Leads'!$F:$F,"Contacted",'Master Leads'!$E:$E,"&gt;="&amp;IF(ISBLANK($B$5),0,$B$5),'Master Leads'!$E:$E,"&lt;="&amp;IF(ISBLANK($D$5),99999,$D$5)))</f>
        <v/>
      </c>
      <c r="D67" s="385">
        <f>IF($A67="","",COUNTIFS('Master Leads'!$D:$D,$A67,'Master Leads'!$F:$F,"No Answer",'Master Leads'!$E:$E,"&gt;="&amp;IF(ISBLANK($B$5),0,$B$5),'Master Leads'!$E:$E,"&lt;="&amp;IF(ISBLANK($D$5),99999,$D$5)))</f>
        <v/>
      </c>
      <c r="E67" s="385">
        <f>IF($A67="","",COUNTIFS('Master Leads'!$D:$D,$A67,'Master Leads'!$F:$F,"Interested",'Master Leads'!$E:$E,"&gt;="&amp;IF(ISBLANK($B$5),0,$B$5),'Master Leads'!$E:$E,"&lt;="&amp;IF(ISBLANK($D$5),99999,$D$5)))</f>
        <v/>
      </c>
      <c r="F67" s="385">
        <f>IF($A67="","",COUNTIFS('Master Leads'!$D:$D,$A67,'Master Leads'!$E:$E,"&gt;="&amp;IF(ISBLANK($B$5),0,$B$5),'Master Leads'!$E:$E,"&lt;="&amp;IF(ISBLANK($D$5),99999,$D$5))-COUNTIFS('Master Leads'!$D:$D,$A67,'Master Leads'!$F:$F,"Converted",'Master Leads'!$E:$E,"&gt;="&amp;IF(ISBLANK($B$5),0,$B$5),'Master Leads'!$E:$E,"&lt;="&amp;IF(ISBLANK($D$5),99999,$D$5))-COUNTIFS('Master Leads'!$D:$D,$A67,'Master Leads'!$F:$F,"Not Interested",'Master Leads'!$E:$E,"&gt;="&amp;IF(ISBLANK($B$5),0,$B$5),'Master Leads'!$E:$E,"&lt;="&amp;IF(ISBLANK($D$5),99999,$D$5))-B67-C67-D67-E67)</f>
        <v/>
      </c>
      <c r="G67" s="404">
        <f>IF($A67="","",SUM(B67:F67))</f>
        <v/>
      </c>
      <c r="H67" s="387">
        <f>IF(OR($A67="",H17=0),"",G67/H17)</f>
        <v/>
      </c>
      <c r="I67" s="405">
        <f>IF(OR($A67="",H17=0),"",(B67+E67+F67)/H17)</f>
        <v/>
      </c>
      <c r="J67" s="38" t="n"/>
    </row>
    <row r="68" ht="20" customHeight="1">
      <c r="A68" s="388">
        <f>IF(INDEX(Members!$A:$A,11)="","",INDEX(Members!$A:$A,11))</f>
        <v/>
      </c>
      <c r="B68" s="389">
        <f>IF($A68="","",COUNTIFS('Master Leads'!$D:$D,$A68,'Master Leads'!$F:$F,"New",'Master Leads'!$E:$E,"&gt;="&amp;IF(ISBLANK($B$5),0,$B$5),'Master Leads'!$E:$E,"&lt;="&amp;IF(ISBLANK($D$5),99999,$D$5)))</f>
        <v/>
      </c>
      <c r="C68" s="389">
        <f>IF($A68="","",COUNTIFS('Master Leads'!$D:$D,$A68,'Master Leads'!$F:$F,"Contacted",'Master Leads'!$E:$E,"&gt;="&amp;IF(ISBLANK($B$5),0,$B$5),'Master Leads'!$E:$E,"&lt;="&amp;IF(ISBLANK($D$5),99999,$D$5)))</f>
        <v/>
      </c>
      <c r="D68" s="389">
        <f>IF($A68="","",COUNTIFS('Master Leads'!$D:$D,$A68,'Master Leads'!$F:$F,"No Answer",'Master Leads'!$E:$E,"&gt;="&amp;IF(ISBLANK($B$5),0,$B$5),'Master Leads'!$E:$E,"&lt;="&amp;IF(ISBLANK($D$5),99999,$D$5)))</f>
        <v/>
      </c>
      <c r="E68" s="389">
        <f>IF($A68="","",COUNTIFS('Master Leads'!$D:$D,$A68,'Master Leads'!$F:$F,"Interested",'Master Leads'!$E:$E,"&gt;="&amp;IF(ISBLANK($B$5),0,$B$5),'Master Leads'!$E:$E,"&lt;="&amp;IF(ISBLANK($D$5),99999,$D$5)))</f>
        <v/>
      </c>
      <c r="F68" s="389">
        <f>IF($A68="","",COUNTIFS('Master Leads'!$D:$D,$A68,'Master Leads'!$E:$E,"&gt;="&amp;IF(ISBLANK($B$5),0,$B$5),'Master Leads'!$E:$E,"&lt;="&amp;IF(ISBLANK($D$5),99999,$D$5))-COUNTIFS('Master Leads'!$D:$D,$A68,'Master Leads'!$F:$F,"Converted",'Master Leads'!$E:$E,"&gt;="&amp;IF(ISBLANK($B$5),0,$B$5),'Master Leads'!$E:$E,"&lt;="&amp;IF(ISBLANK($D$5),99999,$D$5))-COUNTIFS('Master Leads'!$D:$D,$A68,'Master Leads'!$F:$F,"Not Interested",'Master Leads'!$E:$E,"&gt;="&amp;IF(ISBLANK($B$5),0,$B$5),'Master Leads'!$E:$E,"&lt;="&amp;IF(ISBLANK($D$5),99999,$D$5))-B68-C68-D68-E68)</f>
        <v/>
      </c>
      <c r="G68" s="406">
        <f>IF($A68="","",SUM(B68:F68))</f>
        <v/>
      </c>
      <c r="H68" s="391">
        <f>IF(OR($A68="",H18=0),"",G68/H18)</f>
        <v/>
      </c>
      <c r="I68" s="407">
        <f>IF(OR($A68="",H18=0),"",(B68+E68+F68)/H18)</f>
        <v/>
      </c>
      <c r="J68" s="38" t="n"/>
    </row>
    <row r="69" ht="20" customHeight="1">
      <c r="A69" s="384">
        <f>IF(INDEX(Members!$A:$A,12)="","",INDEX(Members!$A:$A,12))</f>
        <v/>
      </c>
      <c r="B69" s="385">
        <f>IF($A69="","",COUNTIFS('Master Leads'!$D:$D,$A69,'Master Leads'!$F:$F,"New",'Master Leads'!$E:$E,"&gt;="&amp;IF(ISBLANK($B$5),0,$B$5),'Master Leads'!$E:$E,"&lt;="&amp;IF(ISBLANK($D$5),99999,$D$5)))</f>
        <v/>
      </c>
      <c r="C69" s="385">
        <f>IF($A69="","",COUNTIFS('Master Leads'!$D:$D,$A69,'Master Leads'!$F:$F,"Contacted",'Master Leads'!$E:$E,"&gt;="&amp;IF(ISBLANK($B$5),0,$B$5),'Master Leads'!$E:$E,"&lt;="&amp;IF(ISBLANK($D$5),99999,$D$5)))</f>
        <v/>
      </c>
      <c r="D69" s="385">
        <f>IF($A69="","",COUNTIFS('Master Leads'!$D:$D,$A69,'Master Leads'!$F:$F,"No Answer",'Master Leads'!$E:$E,"&gt;="&amp;IF(ISBLANK($B$5),0,$B$5),'Master Leads'!$E:$E,"&lt;="&amp;IF(ISBLANK($D$5),99999,$D$5)))</f>
        <v/>
      </c>
      <c r="E69" s="385">
        <f>IF($A69="","",COUNTIFS('Master Leads'!$D:$D,$A69,'Master Leads'!$F:$F,"Interested",'Master Leads'!$E:$E,"&gt;="&amp;IF(ISBLANK($B$5),0,$B$5),'Master Leads'!$E:$E,"&lt;="&amp;IF(ISBLANK($D$5),99999,$D$5)))</f>
        <v/>
      </c>
      <c r="F69" s="385">
        <f>IF($A69="","",COUNTIFS('Master Leads'!$D:$D,$A69,'Master Leads'!$E:$E,"&gt;="&amp;IF(ISBLANK($B$5),0,$B$5),'Master Leads'!$E:$E,"&lt;="&amp;IF(ISBLANK($D$5),99999,$D$5))-COUNTIFS('Master Leads'!$D:$D,$A69,'Master Leads'!$F:$F,"Converted",'Master Leads'!$E:$E,"&gt;="&amp;IF(ISBLANK($B$5),0,$B$5),'Master Leads'!$E:$E,"&lt;="&amp;IF(ISBLANK($D$5),99999,$D$5))-COUNTIFS('Master Leads'!$D:$D,$A69,'Master Leads'!$F:$F,"Not Interested",'Master Leads'!$E:$E,"&gt;="&amp;IF(ISBLANK($B$5),0,$B$5),'Master Leads'!$E:$E,"&lt;="&amp;IF(ISBLANK($D$5),99999,$D$5))-B69-C69-D69-E69)</f>
        <v/>
      </c>
      <c r="G69" s="404">
        <f>IF($A69="","",SUM(B69:F69))</f>
        <v/>
      </c>
      <c r="H69" s="387">
        <f>IF(OR($A69="",H19=0),"",G69/H19)</f>
        <v/>
      </c>
      <c r="I69" s="405">
        <f>IF(OR($A69="",H19=0),"",(B69+E69+F69)/H19)</f>
        <v/>
      </c>
      <c r="J69" s="38" t="n"/>
    </row>
    <row r="70" ht="20" customHeight="1">
      <c r="A70" s="388">
        <f>IF(INDEX(Members!$A:$A,13)="","",INDEX(Members!$A:$A,13))</f>
        <v/>
      </c>
      <c r="B70" s="389">
        <f>IF($A70="","",COUNTIFS('Master Leads'!$D:$D,$A70,'Master Leads'!$F:$F,"New",'Master Leads'!$E:$E,"&gt;="&amp;IF(ISBLANK($B$5),0,$B$5),'Master Leads'!$E:$E,"&lt;="&amp;IF(ISBLANK($D$5),99999,$D$5)))</f>
        <v/>
      </c>
      <c r="C70" s="389">
        <f>IF($A70="","",COUNTIFS('Master Leads'!$D:$D,$A70,'Master Leads'!$F:$F,"Contacted",'Master Leads'!$E:$E,"&gt;="&amp;IF(ISBLANK($B$5),0,$B$5),'Master Leads'!$E:$E,"&lt;="&amp;IF(ISBLANK($D$5),99999,$D$5)))</f>
        <v/>
      </c>
      <c r="D70" s="389">
        <f>IF($A70="","",COUNTIFS('Master Leads'!$D:$D,$A70,'Master Leads'!$F:$F,"No Answer",'Master Leads'!$E:$E,"&gt;="&amp;IF(ISBLANK($B$5),0,$B$5),'Master Leads'!$E:$E,"&lt;="&amp;IF(ISBLANK($D$5),99999,$D$5)))</f>
        <v/>
      </c>
      <c r="E70" s="389">
        <f>IF($A70="","",COUNTIFS('Master Leads'!$D:$D,$A70,'Master Leads'!$F:$F,"Interested",'Master Leads'!$E:$E,"&gt;="&amp;IF(ISBLANK($B$5),0,$B$5),'Master Leads'!$E:$E,"&lt;="&amp;IF(ISBLANK($D$5),99999,$D$5)))</f>
        <v/>
      </c>
      <c r="F70" s="389">
        <f>IF($A70="","",COUNTIFS('Master Leads'!$D:$D,$A70,'Master Leads'!$E:$E,"&gt;="&amp;IF(ISBLANK($B$5),0,$B$5),'Master Leads'!$E:$E,"&lt;="&amp;IF(ISBLANK($D$5),99999,$D$5))-COUNTIFS('Master Leads'!$D:$D,$A70,'Master Leads'!$F:$F,"Converted",'Master Leads'!$E:$E,"&gt;="&amp;IF(ISBLANK($B$5),0,$B$5),'Master Leads'!$E:$E,"&lt;="&amp;IF(ISBLANK($D$5),99999,$D$5))-COUNTIFS('Master Leads'!$D:$D,$A70,'Master Leads'!$F:$F,"Not Interested",'Master Leads'!$E:$E,"&gt;="&amp;IF(ISBLANK($B$5),0,$B$5),'Master Leads'!$E:$E,"&lt;="&amp;IF(ISBLANK($D$5),99999,$D$5))-B70-C70-D70-E70)</f>
        <v/>
      </c>
      <c r="G70" s="406">
        <f>IF($A70="","",SUM(B70:F70))</f>
        <v/>
      </c>
      <c r="H70" s="391">
        <f>IF(OR($A70="",H20=0),"",G70/H20)</f>
        <v/>
      </c>
      <c r="I70" s="407">
        <f>IF(OR($A70="",H20=0),"",(B70+E70+F70)/H20)</f>
        <v/>
      </c>
      <c r="J70" s="38" t="n"/>
    </row>
    <row r="71" ht="20" customHeight="1">
      <c r="A71" s="384">
        <f>IF(INDEX(Members!$A:$A,14)="","",INDEX(Members!$A:$A,14))</f>
        <v/>
      </c>
      <c r="B71" s="385">
        <f>IF($A71="","",COUNTIFS('Master Leads'!$D:$D,$A71,'Master Leads'!$F:$F,"New",'Master Leads'!$E:$E,"&gt;="&amp;IF(ISBLANK($B$5),0,$B$5),'Master Leads'!$E:$E,"&lt;="&amp;IF(ISBLANK($D$5),99999,$D$5)))</f>
        <v/>
      </c>
      <c r="C71" s="385">
        <f>IF($A71="","",COUNTIFS('Master Leads'!$D:$D,$A71,'Master Leads'!$F:$F,"Contacted",'Master Leads'!$E:$E,"&gt;="&amp;IF(ISBLANK($B$5),0,$B$5),'Master Leads'!$E:$E,"&lt;="&amp;IF(ISBLANK($D$5),99999,$D$5)))</f>
        <v/>
      </c>
      <c r="D71" s="385">
        <f>IF($A71="","",COUNTIFS('Master Leads'!$D:$D,$A71,'Master Leads'!$F:$F,"No Answer",'Master Leads'!$E:$E,"&gt;="&amp;IF(ISBLANK($B$5),0,$B$5),'Master Leads'!$E:$E,"&lt;="&amp;IF(ISBLANK($D$5),99999,$D$5)))</f>
        <v/>
      </c>
      <c r="E71" s="385">
        <f>IF($A71="","",COUNTIFS('Master Leads'!$D:$D,$A71,'Master Leads'!$F:$F,"Interested",'Master Leads'!$E:$E,"&gt;="&amp;IF(ISBLANK($B$5),0,$B$5),'Master Leads'!$E:$E,"&lt;="&amp;IF(ISBLANK($D$5),99999,$D$5)))</f>
        <v/>
      </c>
      <c r="F71" s="385">
        <f>IF($A71="","",COUNTIFS('Master Leads'!$D:$D,$A71,'Master Leads'!$E:$E,"&gt;="&amp;IF(ISBLANK($B$5),0,$B$5),'Master Leads'!$E:$E,"&lt;="&amp;IF(ISBLANK($D$5),99999,$D$5))-COUNTIFS('Master Leads'!$D:$D,$A71,'Master Leads'!$F:$F,"Converted",'Master Leads'!$E:$E,"&gt;="&amp;IF(ISBLANK($B$5),0,$B$5),'Master Leads'!$E:$E,"&lt;="&amp;IF(ISBLANK($D$5),99999,$D$5))-COUNTIFS('Master Leads'!$D:$D,$A71,'Master Leads'!$F:$F,"Not Interested",'Master Leads'!$E:$E,"&gt;="&amp;IF(ISBLANK($B$5),0,$B$5),'Master Leads'!$E:$E,"&lt;="&amp;IF(ISBLANK($D$5),99999,$D$5))-B71-C71-D71-E71)</f>
        <v/>
      </c>
      <c r="G71" s="404">
        <f>IF($A71="","",SUM(B71:F71))</f>
        <v/>
      </c>
      <c r="H71" s="387">
        <f>IF(OR($A71="",H21=0),"",G71/H21)</f>
        <v/>
      </c>
      <c r="I71" s="405">
        <f>IF(OR($A71="",H21=0),"",(B71+E71+F71)/H21)</f>
        <v/>
      </c>
      <c r="J71" s="38" t="n"/>
    </row>
    <row r="72" ht="20" customHeight="1">
      <c r="A72" s="388">
        <f>IF(INDEX(Members!$A:$A,15)="","",INDEX(Members!$A:$A,15))</f>
        <v/>
      </c>
      <c r="B72" s="389">
        <f>IF($A72="","",COUNTIFS('Master Leads'!$D:$D,$A72,'Master Leads'!$F:$F,"New",'Master Leads'!$E:$E,"&gt;="&amp;IF(ISBLANK($B$5),0,$B$5),'Master Leads'!$E:$E,"&lt;="&amp;IF(ISBLANK($D$5),99999,$D$5)))</f>
        <v/>
      </c>
      <c r="C72" s="389">
        <f>IF($A72="","",COUNTIFS('Master Leads'!$D:$D,$A72,'Master Leads'!$F:$F,"Contacted",'Master Leads'!$E:$E,"&gt;="&amp;IF(ISBLANK($B$5),0,$B$5),'Master Leads'!$E:$E,"&lt;="&amp;IF(ISBLANK($D$5),99999,$D$5)))</f>
        <v/>
      </c>
      <c r="D72" s="389">
        <f>IF($A72="","",COUNTIFS('Master Leads'!$D:$D,$A72,'Master Leads'!$F:$F,"No Answer",'Master Leads'!$E:$E,"&gt;="&amp;IF(ISBLANK($B$5),0,$B$5),'Master Leads'!$E:$E,"&lt;="&amp;IF(ISBLANK($D$5),99999,$D$5)))</f>
        <v/>
      </c>
      <c r="E72" s="389">
        <f>IF($A72="","",COUNTIFS('Master Leads'!$D:$D,$A72,'Master Leads'!$F:$F,"Interested",'Master Leads'!$E:$E,"&gt;="&amp;IF(ISBLANK($B$5),0,$B$5),'Master Leads'!$E:$E,"&lt;="&amp;IF(ISBLANK($D$5),99999,$D$5)))</f>
        <v/>
      </c>
      <c r="F72" s="389">
        <f>IF($A72="","",COUNTIFS('Master Leads'!$D:$D,$A72,'Master Leads'!$E:$E,"&gt;="&amp;IF(ISBLANK($B$5),0,$B$5),'Master Leads'!$E:$E,"&lt;="&amp;IF(ISBLANK($D$5),99999,$D$5))-COUNTIFS('Master Leads'!$D:$D,$A72,'Master Leads'!$F:$F,"Converted",'Master Leads'!$E:$E,"&gt;="&amp;IF(ISBLANK($B$5),0,$B$5),'Master Leads'!$E:$E,"&lt;="&amp;IF(ISBLANK($D$5),99999,$D$5))-COUNTIFS('Master Leads'!$D:$D,$A72,'Master Leads'!$F:$F,"Not Interested",'Master Leads'!$E:$E,"&gt;="&amp;IF(ISBLANK($B$5),0,$B$5),'Master Leads'!$E:$E,"&lt;="&amp;IF(ISBLANK($D$5),99999,$D$5))-B72-C72-D72-E72)</f>
        <v/>
      </c>
      <c r="G72" s="406">
        <f>IF($A72="","",SUM(B72:F72))</f>
        <v/>
      </c>
      <c r="H72" s="391">
        <f>IF(OR($A72="",H22=0),"",G72/H22)</f>
        <v/>
      </c>
      <c r="I72" s="407">
        <f>IF(OR($A72="",H22=0),"",(B72+E72+F72)/H22)</f>
        <v/>
      </c>
      <c r="J72" s="38" t="n"/>
    </row>
    <row r="73" ht="20" customHeight="1">
      <c r="A73" s="384">
        <f>IF(INDEX(Members!$A:$A,16)="","",INDEX(Members!$A:$A,16))</f>
        <v/>
      </c>
      <c r="B73" s="385">
        <f>IF($A73="","",COUNTIFS('Master Leads'!$D:$D,$A73,'Master Leads'!$F:$F,"New",'Master Leads'!$E:$E,"&gt;="&amp;IF(ISBLANK($B$5),0,$B$5),'Master Leads'!$E:$E,"&lt;="&amp;IF(ISBLANK($D$5),99999,$D$5)))</f>
        <v/>
      </c>
      <c r="C73" s="385">
        <f>IF($A73="","",COUNTIFS('Master Leads'!$D:$D,$A73,'Master Leads'!$F:$F,"Contacted",'Master Leads'!$E:$E,"&gt;="&amp;IF(ISBLANK($B$5),0,$B$5),'Master Leads'!$E:$E,"&lt;="&amp;IF(ISBLANK($D$5),99999,$D$5)))</f>
        <v/>
      </c>
      <c r="D73" s="385">
        <f>IF($A73="","",COUNTIFS('Master Leads'!$D:$D,$A73,'Master Leads'!$F:$F,"No Answer",'Master Leads'!$E:$E,"&gt;="&amp;IF(ISBLANK($B$5),0,$B$5),'Master Leads'!$E:$E,"&lt;="&amp;IF(ISBLANK($D$5),99999,$D$5)))</f>
        <v/>
      </c>
      <c r="E73" s="385">
        <f>IF($A73="","",COUNTIFS('Master Leads'!$D:$D,$A73,'Master Leads'!$F:$F,"Interested",'Master Leads'!$E:$E,"&gt;="&amp;IF(ISBLANK($B$5),0,$B$5),'Master Leads'!$E:$E,"&lt;="&amp;IF(ISBLANK($D$5),99999,$D$5)))</f>
        <v/>
      </c>
      <c r="F73" s="385">
        <f>IF($A73="","",COUNTIFS('Master Leads'!$D:$D,$A73,'Master Leads'!$E:$E,"&gt;="&amp;IF(ISBLANK($B$5),0,$B$5),'Master Leads'!$E:$E,"&lt;="&amp;IF(ISBLANK($D$5),99999,$D$5))-COUNTIFS('Master Leads'!$D:$D,$A73,'Master Leads'!$F:$F,"Converted",'Master Leads'!$E:$E,"&gt;="&amp;IF(ISBLANK($B$5),0,$B$5),'Master Leads'!$E:$E,"&lt;="&amp;IF(ISBLANK($D$5),99999,$D$5))-COUNTIFS('Master Leads'!$D:$D,$A73,'Master Leads'!$F:$F,"Not Interested",'Master Leads'!$E:$E,"&gt;="&amp;IF(ISBLANK($B$5),0,$B$5),'Master Leads'!$E:$E,"&lt;="&amp;IF(ISBLANK($D$5),99999,$D$5))-B73-C73-D73-E73)</f>
        <v/>
      </c>
      <c r="G73" s="404">
        <f>IF($A73="","",SUM(B73:F73))</f>
        <v/>
      </c>
      <c r="H73" s="387">
        <f>IF(OR($A73="",H23=0),"",G73/H23)</f>
        <v/>
      </c>
      <c r="I73" s="405">
        <f>IF(OR($A73="",H23=0),"",(B73+E73+F73)/H23)</f>
        <v/>
      </c>
      <c r="J73" s="38" t="n"/>
    </row>
    <row r="74" ht="20" customHeight="1">
      <c r="A74" s="388">
        <f>IF(INDEX(Members!$A:$A,17)="","",INDEX(Members!$A:$A,17))</f>
        <v/>
      </c>
      <c r="B74" s="389">
        <f>IF($A74="","",COUNTIFS('Master Leads'!$D:$D,$A74,'Master Leads'!$F:$F,"New",'Master Leads'!$E:$E,"&gt;="&amp;IF(ISBLANK($B$5),0,$B$5),'Master Leads'!$E:$E,"&lt;="&amp;IF(ISBLANK($D$5),99999,$D$5)))</f>
        <v/>
      </c>
      <c r="C74" s="389">
        <f>IF($A74="","",COUNTIFS('Master Leads'!$D:$D,$A74,'Master Leads'!$F:$F,"Contacted",'Master Leads'!$E:$E,"&gt;="&amp;IF(ISBLANK($B$5),0,$B$5),'Master Leads'!$E:$E,"&lt;="&amp;IF(ISBLANK($D$5),99999,$D$5)))</f>
        <v/>
      </c>
      <c r="D74" s="389">
        <f>IF($A74="","",COUNTIFS('Master Leads'!$D:$D,$A74,'Master Leads'!$F:$F,"No Answer",'Master Leads'!$E:$E,"&gt;="&amp;IF(ISBLANK($B$5),0,$B$5),'Master Leads'!$E:$E,"&lt;="&amp;IF(ISBLANK($D$5),99999,$D$5)))</f>
        <v/>
      </c>
      <c r="E74" s="389">
        <f>IF($A74="","",COUNTIFS('Master Leads'!$D:$D,$A74,'Master Leads'!$F:$F,"Interested",'Master Leads'!$E:$E,"&gt;="&amp;IF(ISBLANK($B$5),0,$B$5),'Master Leads'!$E:$E,"&lt;="&amp;IF(ISBLANK($D$5),99999,$D$5)))</f>
        <v/>
      </c>
      <c r="F74" s="389">
        <f>IF($A74="","",COUNTIFS('Master Leads'!$D:$D,$A74,'Master Leads'!$E:$E,"&gt;="&amp;IF(ISBLANK($B$5),0,$B$5),'Master Leads'!$E:$E,"&lt;="&amp;IF(ISBLANK($D$5),99999,$D$5))-COUNTIFS('Master Leads'!$D:$D,$A74,'Master Leads'!$F:$F,"Converted",'Master Leads'!$E:$E,"&gt;="&amp;IF(ISBLANK($B$5),0,$B$5),'Master Leads'!$E:$E,"&lt;="&amp;IF(ISBLANK($D$5),99999,$D$5))-COUNTIFS('Master Leads'!$D:$D,$A74,'Master Leads'!$F:$F,"Not Interested",'Master Leads'!$E:$E,"&gt;="&amp;IF(ISBLANK($B$5),0,$B$5),'Master Leads'!$E:$E,"&lt;="&amp;IF(ISBLANK($D$5),99999,$D$5))-B74-C74-D74-E74)</f>
        <v/>
      </c>
      <c r="G74" s="406">
        <f>IF($A74="","",SUM(B74:F74))</f>
        <v/>
      </c>
      <c r="H74" s="391">
        <f>IF(OR($A74="",H24=0),"",G74/H24)</f>
        <v/>
      </c>
      <c r="I74" s="407">
        <f>IF(OR($A74="",H24=0),"",(B74+E74+F74)/H24)</f>
        <v/>
      </c>
      <c r="J74" s="38" t="n"/>
    </row>
    <row r="75" ht="20" customHeight="1">
      <c r="A75" s="384">
        <f>IF(INDEX(Members!$A:$A,18)="","",INDEX(Members!$A:$A,18))</f>
        <v/>
      </c>
      <c r="B75" s="385">
        <f>IF($A75="","",COUNTIFS('Master Leads'!$D:$D,$A75,'Master Leads'!$F:$F,"New",'Master Leads'!$E:$E,"&gt;="&amp;IF(ISBLANK($B$5),0,$B$5),'Master Leads'!$E:$E,"&lt;="&amp;IF(ISBLANK($D$5),99999,$D$5)))</f>
        <v/>
      </c>
      <c r="C75" s="385">
        <f>IF($A75="","",COUNTIFS('Master Leads'!$D:$D,$A75,'Master Leads'!$F:$F,"Contacted",'Master Leads'!$E:$E,"&gt;="&amp;IF(ISBLANK($B$5),0,$B$5),'Master Leads'!$E:$E,"&lt;="&amp;IF(ISBLANK($D$5),99999,$D$5)))</f>
        <v/>
      </c>
      <c r="D75" s="385">
        <f>IF($A75="","",COUNTIFS('Master Leads'!$D:$D,$A75,'Master Leads'!$F:$F,"No Answer",'Master Leads'!$E:$E,"&gt;="&amp;IF(ISBLANK($B$5),0,$B$5),'Master Leads'!$E:$E,"&lt;="&amp;IF(ISBLANK($D$5),99999,$D$5)))</f>
        <v/>
      </c>
      <c r="E75" s="385">
        <f>IF($A75="","",COUNTIFS('Master Leads'!$D:$D,$A75,'Master Leads'!$F:$F,"Interested",'Master Leads'!$E:$E,"&gt;="&amp;IF(ISBLANK($B$5),0,$B$5),'Master Leads'!$E:$E,"&lt;="&amp;IF(ISBLANK($D$5),99999,$D$5)))</f>
        <v/>
      </c>
      <c r="F75" s="385">
        <f>IF($A75="","",COUNTIFS('Master Leads'!$D:$D,$A75,'Master Leads'!$E:$E,"&gt;="&amp;IF(ISBLANK($B$5),0,$B$5),'Master Leads'!$E:$E,"&lt;="&amp;IF(ISBLANK($D$5),99999,$D$5))-COUNTIFS('Master Leads'!$D:$D,$A75,'Master Leads'!$F:$F,"Converted",'Master Leads'!$E:$E,"&gt;="&amp;IF(ISBLANK($B$5),0,$B$5),'Master Leads'!$E:$E,"&lt;="&amp;IF(ISBLANK($D$5),99999,$D$5))-COUNTIFS('Master Leads'!$D:$D,$A75,'Master Leads'!$F:$F,"Not Interested",'Master Leads'!$E:$E,"&gt;="&amp;IF(ISBLANK($B$5),0,$B$5),'Master Leads'!$E:$E,"&lt;="&amp;IF(ISBLANK($D$5),99999,$D$5))-B75-C75-D75-E75)</f>
        <v/>
      </c>
      <c r="G75" s="404">
        <f>IF($A75="","",SUM(B75:F75))</f>
        <v/>
      </c>
      <c r="H75" s="387">
        <f>IF(OR($A75="",H25=0),"",G75/H25)</f>
        <v/>
      </c>
      <c r="I75" s="405">
        <f>IF(OR($A75="",H25=0),"",(B75+E75+F75)/H25)</f>
        <v/>
      </c>
      <c r="J75" s="38" t="n"/>
    </row>
    <row r="76" ht="20" customHeight="1">
      <c r="A76" s="388">
        <f>IF(INDEX(Members!$A:$A,19)="","",INDEX(Members!$A:$A,19))</f>
        <v/>
      </c>
      <c r="B76" s="389">
        <f>IF($A76="","",COUNTIFS('Master Leads'!$D:$D,$A76,'Master Leads'!$F:$F,"New",'Master Leads'!$E:$E,"&gt;="&amp;IF(ISBLANK($B$5),0,$B$5),'Master Leads'!$E:$E,"&lt;="&amp;IF(ISBLANK($D$5),99999,$D$5)))</f>
        <v/>
      </c>
      <c r="C76" s="389">
        <f>IF($A76="","",COUNTIFS('Master Leads'!$D:$D,$A76,'Master Leads'!$F:$F,"Contacted",'Master Leads'!$E:$E,"&gt;="&amp;IF(ISBLANK($B$5),0,$B$5),'Master Leads'!$E:$E,"&lt;="&amp;IF(ISBLANK($D$5),99999,$D$5)))</f>
        <v/>
      </c>
      <c r="D76" s="389">
        <f>IF($A76="","",COUNTIFS('Master Leads'!$D:$D,$A76,'Master Leads'!$F:$F,"No Answer",'Master Leads'!$E:$E,"&gt;="&amp;IF(ISBLANK($B$5),0,$B$5),'Master Leads'!$E:$E,"&lt;="&amp;IF(ISBLANK($D$5),99999,$D$5)))</f>
        <v/>
      </c>
      <c r="E76" s="389">
        <f>IF($A76="","",COUNTIFS('Master Leads'!$D:$D,$A76,'Master Leads'!$F:$F,"Interested",'Master Leads'!$E:$E,"&gt;="&amp;IF(ISBLANK($B$5),0,$B$5),'Master Leads'!$E:$E,"&lt;="&amp;IF(ISBLANK($D$5),99999,$D$5)))</f>
        <v/>
      </c>
      <c r="F76" s="389">
        <f>IF($A76="","",COUNTIFS('Master Leads'!$D:$D,$A76,'Master Leads'!$E:$E,"&gt;="&amp;IF(ISBLANK($B$5),0,$B$5),'Master Leads'!$E:$E,"&lt;="&amp;IF(ISBLANK($D$5),99999,$D$5))-COUNTIFS('Master Leads'!$D:$D,$A76,'Master Leads'!$F:$F,"Converted",'Master Leads'!$E:$E,"&gt;="&amp;IF(ISBLANK($B$5),0,$B$5),'Master Leads'!$E:$E,"&lt;="&amp;IF(ISBLANK($D$5),99999,$D$5))-COUNTIFS('Master Leads'!$D:$D,$A76,'Master Leads'!$F:$F,"Not Interested",'Master Leads'!$E:$E,"&gt;="&amp;IF(ISBLANK($B$5),0,$B$5),'Master Leads'!$E:$E,"&lt;="&amp;IF(ISBLANK($D$5),99999,$D$5))-B76-C76-D76-E76)</f>
        <v/>
      </c>
      <c r="G76" s="406">
        <f>IF($A76="","",SUM(B76:F76))</f>
        <v/>
      </c>
      <c r="H76" s="391">
        <f>IF(OR($A76="",H26=0),"",G76/H26)</f>
        <v/>
      </c>
      <c r="I76" s="407">
        <f>IF(OR($A76="",H26=0),"",(B76+E76+F76)/H26)</f>
        <v/>
      </c>
      <c r="J76" s="38" t="n"/>
    </row>
    <row r="77" ht="20" customHeight="1">
      <c r="A77" s="384">
        <f>IF(INDEX(Members!$A:$A,20)="","",INDEX(Members!$A:$A,20))</f>
        <v/>
      </c>
      <c r="B77" s="385">
        <f>IF($A77="","",COUNTIFS('Master Leads'!$D:$D,$A77,'Master Leads'!$F:$F,"New",'Master Leads'!$E:$E,"&gt;="&amp;IF(ISBLANK($B$5),0,$B$5),'Master Leads'!$E:$E,"&lt;="&amp;IF(ISBLANK($D$5),99999,$D$5)))</f>
        <v/>
      </c>
      <c r="C77" s="385">
        <f>IF($A77="","",COUNTIFS('Master Leads'!$D:$D,$A77,'Master Leads'!$F:$F,"Contacted",'Master Leads'!$E:$E,"&gt;="&amp;IF(ISBLANK($B$5),0,$B$5),'Master Leads'!$E:$E,"&lt;="&amp;IF(ISBLANK($D$5),99999,$D$5)))</f>
        <v/>
      </c>
      <c r="D77" s="385">
        <f>IF($A77="","",COUNTIFS('Master Leads'!$D:$D,$A77,'Master Leads'!$F:$F,"No Answer",'Master Leads'!$E:$E,"&gt;="&amp;IF(ISBLANK($B$5),0,$B$5),'Master Leads'!$E:$E,"&lt;="&amp;IF(ISBLANK($D$5),99999,$D$5)))</f>
        <v/>
      </c>
      <c r="E77" s="385">
        <f>IF($A77="","",COUNTIFS('Master Leads'!$D:$D,$A77,'Master Leads'!$F:$F,"Interested",'Master Leads'!$E:$E,"&gt;="&amp;IF(ISBLANK($B$5),0,$B$5),'Master Leads'!$E:$E,"&lt;="&amp;IF(ISBLANK($D$5),99999,$D$5)))</f>
        <v/>
      </c>
      <c r="F77" s="385">
        <f>IF($A77="","",COUNTIFS('Master Leads'!$D:$D,$A77,'Master Leads'!$E:$E,"&gt;="&amp;IF(ISBLANK($B$5),0,$B$5),'Master Leads'!$E:$E,"&lt;="&amp;IF(ISBLANK($D$5),99999,$D$5))-COUNTIFS('Master Leads'!$D:$D,$A77,'Master Leads'!$F:$F,"Converted",'Master Leads'!$E:$E,"&gt;="&amp;IF(ISBLANK($B$5),0,$B$5),'Master Leads'!$E:$E,"&lt;="&amp;IF(ISBLANK($D$5),99999,$D$5))-COUNTIFS('Master Leads'!$D:$D,$A77,'Master Leads'!$F:$F,"Not Interested",'Master Leads'!$E:$E,"&gt;="&amp;IF(ISBLANK($B$5),0,$B$5),'Master Leads'!$E:$E,"&lt;="&amp;IF(ISBLANK($D$5),99999,$D$5))-B77-C77-D77-E77)</f>
        <v/>
      </c>
      <c r="G77" s="404">
        <f>IF($A77="","",SUM(B77:F77))</f>
        <v/>
      </c>
      <c r="H77" s="387">
        <f>IF(OR($A77="",H27=0),"",G77/H27)</f>
        <v/>
      </c>
      <c r="I77" s="405">
        <f>IF(OR($A77="",H27=0),"",(B77+E77+F77)/H27)</f>
        <v/>
      </c>
      <c r="J77" s="38" t="n"/>
    </row>
    <row r="78" ht="20" customHeight="1">
      <c r="A78" s="388">
        <f>IF(INDEX(Members!$A:$A,21)="","",INDEX(Members!$A:$A,21))</f>
        <v/>
      </c>
      <c r="B78" s="389">
        <f>IF($A78="","",COUNTIFS('Master Leads'!$D:$D,$A78,'Master Leads'!$F:$F,"New",'Master Leads'!$E:$E,"&gt;="&amp;IF(ISBLANK($B$5),0,$B$5),'Master Leads'!$E:$E,"&lt;="&amp;IF(ISBLANK($D$5),99999,$D$5)))</f>
        <v/>
      </c>
      <c r="C78" s="389">
        <f>IF($A78="","",COUNTIFS('Master Leads'!$D:$D,$A78,'Master Leads'!$F:$F,"Contacted",'Master Leads'!$E:$E,"&gt;="&amp;IF(ISBLANK($B$5),0,$B$5),'Master Leads'!$E:$E,"&lt;="&amp;IF(ISBLANK($D$5),99999,$D$5)))</f>
        <v/>
      </c>
      <c r="D78" s="389">
        <f>IF($A78="","",COUNTIFS('Master Leads'!$D:$D,$A78,'Master Leads'!$F:$F,"No Answer",'Master Leads'!$E:$E,"&gt;="&amp;IF(ISBLANK($B$5),0,$B$5),'Master Leads'!$E:$E,"&lt;="&amp;IF(ISBLANK($D$5),99999,$D$5)))</f>
        <v/>
      </c>
      <c r="E78" s="389">
        <f>IF($A78="","",COUNTIFS('Master Leads'!$D:$D,$A78,'Master Leads'!$F:$F,"Interested",'Master Leads'!$E:$E,"&gt;="&amp;IF(ISBLANK($B$5),0,$B$5),'Master Leads'!$E:$E,"&lt;="&amp;IF(ISBLANK($D$5),99999,$D$5)))</f>
        <v/>
      </c>
      <c r="F78" s="389">
        <f>IF($A78="","",COUNTIFS('Master Leads'!$D:$D,$A78,'Master Leads'!$E:$E,"&gt;="&amp;IF(ISBLANK($B$5),0,$B$5),'Master Leads'!$E:$E,"&lt;="&amp;IF(ISBLANK($D$5),99999,$D$5))-COUNTIFS('Master Leads'!$D:$D,$A78,'Master Leads'!$F:$F,"Converted",'Master Leads'!$E:$E,"&gt;="&amp;IF(ISBLANK($B$5),0,$B$5),'Master Leads'!$E:$E,"&lt;="&amp;IF(ISBLANK($D$5),99999,$D$5))-COUNTIFS('Master Leads'!$D:$D,$A78,'Master Leads'!$F:$F,"Not Interested",'Master Leads'!$E:$E,"&gt;="&amp;IF(ISBLANK($B$5),0,$B$5),'Master Leads'!$E:$E,"&lt;="&amp;IF(ISBLANK($D$5),99999,$D$5))-B78-C78-D78-E78)</f>
        <v/>
      </c>
      <c r="G78" s="406">
        <f>IF($A78="","",SUM(B78:F78))</f>
        <v/>
      </c>
      <c r="H78" s="391">
        <f>IF(OR($A78="",H28=0),"",G78/H28)</f>
        <v/>
      </c>
      <c r="I78" s="407">
        <f>IF(OR($A78="",H28=0),"",(B78+E78+F78)/H28)</f>
        <v/>
      </c>
      <c r="J78" s="38" t="n"/>
    </row>
    <row r="79" ht="22" customHeight="1">
      <c r="A79" s="408" t="inlineStr">
        <is>
          <t>TOTAL UNRESOLVED</t>
        </is>
      </c>
      <c r="B79" s="408">
        <f>COUNTIFS('Master Leads'!$F:$F,"New",'Master Leads'!$E:$E,"&gt;="&amp;IF(ISBLANK($B$5),0,$B$5),'Master Leads'!$E:$E,"&lt;="&amp;IF(ISBLANK($D$5),99999,$D$5))</f>
        <v/>
      </c>
      <c r="C79" s="408">
        <f>COUNTIFS('Master Leads'!$F:$F,"Contacted",'Master Leads'!$E:$E,"&gt;="&amp;IF(ISBLANK($B$5),0,$B$5),'Master Leads'!$E:$E,"&lt;="&amp;IF(ISBLANK($D$5),99999,$D$5))</f>
        <v/>
      </c>
      <c r="D79" s="408">
        <f>COUNTIFS('Master Leads'!$F:$F,"No Answer",'Master Leads'!$E:$E,"&gt;="&amp;IF(ISBLANK($B$5),0,$B$5),'Master Leads'!$E:$E,"&lt;="&amp;IF(ISBLANK($D$5),99999,$D$5))</f>
        <v/>
      </c>
      <c r="E79" s="408">
        <f>COUNTIFS('Master Leads'!$F:$F,"Interested",'Master Leads'!$E:$E,"&gt;="&amp;IF(ISBLANK($B$5),0,$B$5),'Master Leads'!$E:$E,"&lt;="&amp;IF(ISBLANK($D$5),99999,$D$5))</f>
        <v/>
      </c>
      <c r="F79" s="408">
        <f>H79-COUNTIFS('Master Leads'!$F:$F,"Converted",'Master Leads'!$E:$E,"&gt;="&amp;IF(ISBLANK($B$5),0,$B$5),'Master Leads'!$E:$E,"&lt;="&amp;IF(ISBLANK($D$5),99999,$D$5))-COUNTIFS('Master Leads'!$F:$F,"Not Interested",'Master Leads'!$E:$E,"&gt;="&amp;IF(ISBLANK($B$5),0,$B$5),'Master Leads'!$E:$E,"&lt;="&amp;IF(ISBLANK($D$5),99999,$D$5))-SUM(B79:E79)</f>
        <v/>
      </c>
      <c r="G79" s="408">
        <f>SUM(B79:F79)</f>
        <v/>
      </c>
      <c r="H79" s="409">
        <f>IF(H29=0,"",G79/H29)</f>
        <v/>
      </c>
      <c r="I79" s="409">
        <f>IF(H29=0,"",(B79+E79+F79)/H29)</f>
        <v/>
      </c>
      <c r="J79" s="38" t="n"/>
    </row>
    <row r="80">
      <c r="A80" s="38" t="n"/>
      <c r="B80" s="38" t="n"/>
      <c r="C80" s="38" t="n"/>
      <c r="D80" s="38" t="n"/>
      <c r="E80" s="38" t="n"/>
      <c r="F80" s="38" t="n"/>
      <c r="G80" s="38" t="n"/>
      <c r="H80" s="38" t="n"/>
      <c r="I80" s="38" t="n"/>
      <c r="J80" s="38" t="n"/>
    </row>
    <row r="81">
      <c r="A81" s="38" t="n"/>
      <c r="B81" s="38" t="n"/>
      <c r="C81" s="38" t="n"/>
      <c r="D81" s="38" t="n"/>
      <c r="E81" s="38" t="n"/>
      <c r="F81" s="38" t="n"/>
      <c r="G81" s="38" t="n"/>
      <c r="H81" s="38" t="n"/>
      <c r="I81" s="38" t="n"/>
      <c r="J81" s="38" t="n"/>
    </row>
    <row r="82" ht="24" customHeight="1">
      <c r="A82" s="162" t="inlineStr">
        <is>
          <t>TABLE 4: CAMPAIGN ROI &amp; PERFORMANCE MATRIX</t>
        </is>
      </c>
      <c r="B82" s="38" t="n"/>
      <c r="C82" s="38" t="n"/>
      <c r="D82" s="38" t="n"/>
      <c r="E82" s="38" t="n"/>
      <c r="F82" s="38" t="n"/>
      <c r="G82" s="38" t="n"/>
      <c r="H82" s="38" t="n"/>
      <c r="I82" s="38" t="n"/>
      <c r="J82" s="38" t="n"/>
    </row>
    <row r="83" ht="24" customHeight="1">
      <c r="A83" s="410" t="inlineStr">
        <is>
          <t>Campaign / Boost</t>
        </is>
      </c>
      <c r="B83" s="410" t="inlineStr">
        <is>
          <t>Total Leads</t>
        </is>
      </c>
      <c r="C83" s="411" t="inlineStr">
        <is>
          <t>Converted</t>
        </is>
      </c>
      <c r="D83" s="411" t="inlineStr">
        <is>
          <t>Paid Students</t>
        </is>
      </c>
      <c r="E83" s="411" t="inlineStr">
        <is>
          <t>Not Interested</t>
        </is>
      </c>
      <c r="F83" s="411" t="inlineStr">
        <is>
          <t>Active Pipeline</t>
        </is>
      </c>
      <c r="G83" s="410" t="inlineStr">
        <is>
          <t>Conversion %</t>
        </is>
      </c>
      <c r="H83" s="410" t="inlineStr">
        <is>
          <t>Paid Share %</t>
        </is>
      </c>
      <c r="I83" s="38" t="n"/>
      <c r="J83" s="38" t="n"/>
    </row>
    <row r="84" ht="20" customHeight="1">
      <c r="A84" s="412" t="inlineStr">
        <is>
          <t>B1</t>
        </is>
      </c>
      <c r="B84" s="385">
        <f>COUNTIFS('Master Leads'!$I:$I,"B1",'Master Leads'!$E:$E,"&gt;="&amp;IF(ISBLANK($B$5),0,$B$5),'Master Leads'!$E:$E,"&lt;="&amp;IF(ISBLANK($D$5),99999,$D$5))</f>
        <v/>
      </c>
      <c r="C84" s="385">
        <f>COUNTIFS('Master Leads'!$I:$I,"B1",'Master Leads'!$F:$F,"Converted",'Master Leads'!$E:$E,"&gt;="&amp;IF(ISBLANK($B$5),0,$B$5),'Master Leads'!$E:$E,"&lt;="&amp;IF(ISBLANK($D$5),99999,$D$5))</f>
        <v/>
      </c>
      <c r="D84" s="385">
        <f>COUNTIFS('Master Leads'!$I:$I,"B1",'Master Leads'!$O:$O,"Yes",'Master Leads'!$E:$E,"&gt;="&amp;IF(ISBLANK($B$5),0,$B$5),'Master Leads'!$E:$E,"&lt;="&amp;IF(ISBLANK($D$5),99999,$D$5))</f>
        <v/>
      </c>
      <c r="E84" s="385">
        <f>COUNTIFS('Master Leads'!$I:$I,"B1",'Master Leads'!$F:$F,"Not Interested",'Master Leads'!$E:$E,"&gt;="&amp;IF(ISBLANK($B$5),0,$B$5),'Master Leads'!$E:$E,"&lt;="&amp;IF(ISBLANK($D$5),99999,$D$5))</f>
        <v/>
      </c>
      <c r="F84" s="385">
        <f>B84-C84-E84</f>
        <v/>
      </c>
      <c r="G84" s="397">
        <f>IF(B84=0,"",C84/B84)</f>
        <v/>
      </c>
      <c r="H84" s="387">
        <f>IF(OR(B84=0,$D$94=0),"",D84/$D$94)</f>
        <v/>
      </c>
      <c r="I84" s="38" t="n"/>
      <c r="J84" s="38" t="n"/>
    </row>
    <row r="85" ht="20" customHeight="1">
      <c r="A85" s="413" t="inlineStr">
        <is>
          <t>B2</t>
        </is>
      </c>
      <c r="B85" s="389">
        <f>COUNTIFS('Master Leads'!$I:$I,"B2",'Master Leads'!$E:$E,"&gt;="&amp;IF(ISBLANK($B$5),0,$B$5),'Master Leads'!$E:$E,"&lt;="&amp;IF(ISBLANK($D$5),99999,$D$5))</f>
        <v/>
      </c>
      <c r="C85" s="389">
        <f>COUNTIFS('Master Leads'!$I:$I,"B2",'Master Leads'!$F:$F,"Converted",'Master Leads'!$E:$E,"&gt;="&amp;IF(ISBLANK($B$5),0,$B$5),'Master Leads'!$E:$E,"&lt;="&amp;IF(ISBLANK($D$5),99999,$D$5))</f>
        <v/>
      </c>
      <c r="D85" s="389">
        <f>COUNTIFS('Master Leads'!$I:$I,"B2",'Master Leads'!$O:$O,"Yes",'Master Leads'!$E:$E,"&gt;="&amp;IF(ISBLANK($B$5),0,$B$5),'Master Leads'!$E:$E,"&lt;="&amp;IF(ISBLANK($D$5),99999,$D$5))</f>
        <v/>
      </c>
      <c r="E85" s="389">
        <f>COUNTIFS('Master Leads'!$I:$I,"B2",'Master Leads'!$F:$F,"Not Interested",'Master Leads'!$E:$E,"&gt;="&amp;IF(ISBLANK($B$5),0,$B$5),'Master Leads'!$E:$E,"&lt;="&amp;IF(ISBLANK($D$5),99999,$D$5))</f>
        <v/>
      </c>
      <c r="F85" s="389">
        <f>B85-C85-E85</f>
        <v/>
      </c>
      <c r="G85" s="399">
        <f>IF(B85=0,"",C85/B85)</f>
        <v/>
      </c>
      <c r="H85" s="391">
        <f>IF(OR(B85=0,$D$94=0),"",D85/$D$94)</f>
        <v/>
      </c>
      <c r="I85" s="38" t="n"/>
      <c r="J85" s="38" t="n"/>
    </row>
    <row r="86" ht="20" customHeight="1">
      <c r="A86" s="412" t="inlineStr">
        <is>
          <t>B3</t>
        </is>
      </c>
      <c r="B86" s="385">
        <f>COUNTIFS('Master Leads'!$I:$I,"B3",'Master Leads'!$E:$E,"&gt;="&amp;IF(ISBLANK($B$5),0,$B$5),'Master Leads'!$E:$E,"&lt;="&amp;IF(ISBLANK($D$5),99999,$D$5))</f>
        <v/>
      </c>
      <c r="C86" s="385">
        <f>COUNTIFS('Master Leads'!$I:$I,"B3",'Master Leads'!$F:$F,"Converted",'Master Leads'!$E:$E,"&gt;="&amp;IF(ISBLANK($B$5),0,$B$5),'Master Leads'!$E:$E,"&lt;="&amp;IF(ISBLANK($D$5),99999,$D$5))</f>
        <v/>
      </c>
      <c r="D86" s="385">
        <f>COUNTIFS('Master Leads'!$I:$I,"B3",'Master Leads'!$O:$O,"Yes",'Master Leads'!$E:$E,"&gt;="&amp;IF(ISBLANK($B$5),0,$B$5),'Master Leads'!$E:$E,"&lt;="&amp;IF(ISBLANK($D$5),99999,$D$5))</f>
        <v/>
      </c>
      <c r="E86" s="385">
        <f>COUNTIFS('Master Leads'!$I:$I,"B3",'Master Leads'!$F:$F,"Not Interested",'Master Leads'!$E:$E,"&gt;="&amp;IF(ISBLANK($B$5),0,$B$5),'Master Leads'!$E:$E,"&lt;="&amp;IF(ISBLANK($D$5),99999,$D$5))</f>
        <v/>
      </c>
      <c r="F86" s="385">
        <f>B86-C86-E86</f>
        <v/>
      </c>
      <c r="G86" s="397">
        <f>IF(B86=0,"",C86/B86)</f>
        <v/>
      </c>
      <c r="H86" s="387">
        <f>IF(OR(B86=0,$D$94=0),"",D86/$D$94)</f>
        <v/>
      </c>
      <c r="I86" s="38" t="n"/>
      <c r="J86" s="38" t="n"/>
    </row>
    <row r="87" ht="20" customHeight="1">
      <c r="A87" s="413" t="inlineStr">
        <is>
          <t>B4</t>
        </is>
      </c>
      <c r="B87" s="389">
        <f>COUNTIFS('Master Leads'!$I:$I,"B4",'Master Leads'!$E:$E,"&gt;="&amp;IF(ISBLANK($B$5),0,$B$5),'Master Leads'!$E:$E,"&lt;="&amp;IF(ISBLANK($D$5),99999,$D$5))</f>
        <v/>
      </c>
      <c r="C87" s="389">
        <f>COUNTIFS('Master Leads'!$I:$I,"B4",'Master Leads'!$F:$F,"Converted",'Master Leads'!$E:$E,"&gt;="&amp;IF(ISBLANK($B$5),0,$B$5),'Master Leads'!$E:$E,"&lt;="&amp;IF(ISBLANK($D$5),99999,$D$5))</f>
        <v/>
      </c>
      <c r="D87" s="389">
        <f>COUNTIFS('Master Leads'!$I:$I,"B4",'Master Leads'!$O:$O,"Yes",'Master Leads'!$E:$E,"&gt;="&amp;IF(ISBLANK($B$5),0,$B$5),'Master Leads'!$E:$E,"&lt;="&amp;IF(ISBLANK($D$5),99999,$D$5))</f>
        <v/>
      </c>
      <c r="E87" s="389">
        <f>COUNTIFS('Master Leads'!$I:$I,"B4",'Master Leads'!$F:$F,"Not Interested",'Master Leads'!$E:$E,"&gt;="&amp;IF(ISBLANK($B$5),0,$B$5),'Master Leads'!$E:$E,"&lt;="&amp;IF(ISBLANK($D$5),99999,$D$5))</f>
        <v/>
      </c>
      <c r="F87" s="389">
        <f>B87-C87-E87</f>
        <v/>
      </c>
      <c r="G87" s="399">
        <f>IF(B87=0,"",C87/B87)</f>
        <v/>
      </c>
      <c r="H87" s="391">
        <f>IF(OR(B87=0,$D$94=0),"",D87/$D$94)</f>
        <v/>
      </c>
      <c r="I87" s="38" t="n"/>
      <c r="J87" s="38" t="n"/>
    </row>
    <row r="88" ht="20" customHeight="1">
      <c r="A88" s="412" t="inlineStr">
        <is>
          <t>B5</t>
        </is>
      </c>
      <c r="B88" s="385">
        <f>COUNTIFS('Master Leads'!$I:$I,"B5",'Master Leads'!$E:$E,"&gt;="&amp;IF(ISBLANK($B$5),0,$B$5),'Master Leads'!$E:$E,"&lt;="&amp;IF(ISBLANK($D$5),99999,$D$5))</f>
        <v/>
      </c>
      <c r="C88" s="385">
        <f>COUNTIFS('Master Leads'!$I:$I,"B5",'Master Leads'!$F:$F,"Converted",'Master Leads'!$E:$E,"&gt;="&amp;IF(ISBLANK($B$5),0,$B$5),'Master Leads'!$E:$E,"&lt;="&amp;IF(ISBLANK($D$5),99999,$D$5))</f>
        <v/>
      </c>
      <c r="D88" s="385">
        <f>COUNTIFS('Master Leads'!$I:$I,"B5",'Master Leads'!$O:$O,"Yes",'Master Leads'!$E:$E,"&gt;="&amp;IF(ISBLANK($B$5),0,$B$5),'Master Leads'!$E:$E,"&lt;="&amp;IF(ISBLANK($D$5),99999,$D$5))</f>
        <v/>
      </c>
      <c r="E88" s="385">
        <f>COUNTIFS('Master Leads'!$I:$I,"B5",'Master Leads'!$F:$F,"Not Interested",'Master Leads'!$E:$E,"&gt;="&amp;IF(ISBLANK($B$5),0,$B$5),'Master Leads'!$E:$E,"&lt;="&amp;IF(ISBLANK($D$5),99999,$D$5))</f>
        <v/>
      </c>
      <c r="F88" s="385">
        <f>B88-C88-E88</f>
        <v/>
      </c>
      <c r="G88" s="397">
        <f>IF(B88=0,"",C88/B88)</f>
        <v/>
      </c>
      <c r="H88" s="387">
        <f>IF(OR(B88=0,$D$94=0),"",D88/$D$94)</f>
        <v/>
      </c>
      <c r="I88" s="38" t="n"/>
      <c r="J88" s="38" t="n"/>
    </row>
    <row r="89" ht="20" customHeight="1">
      <c r="A89" s="413" t="inlineStr">
        <is>
          <t>B6</t>
        </is>
      </c>
      <c r="B89" s="389">
        <f>COUNTIFS('Master Leads'!$I:$I,"B6",'Master Leads'!$E:$E,"&gt;="&amp;IF(ISBLANK($B$5),0,$B$5),'Master Leads'!$E:$E,"&lt;="&amp;IF(ISBLANK($D$5),99999,$D$5))</f>
        <v/>
      </c>
      <c r="C89" s="389">
        <f>COUNTIFS('Master Leads'!$I:$I,"B6",'Master Leads'!$F:$F,"Converted",'Master Leads'!$E:$E,"&gt;="&amp;IF(ISBLANK($B$5),0,$B$5),'Master Leads'!$E:$E,"&lt;="&amp;IF(ISBLANK($D$5),99999,$D$5))</f>
        <v/>
      </c>
      <c r="D89" s="389">
        <f>COUNTIFS('Master Leads'!$I:$I,"B6",'Master Leads'!$O:$O,"Yes",'Master Leads'!$E:$E,"&gt;="&amp;IF(ISBLANK($B$5),0,$B$5),'Master Leads'!$E:$E,"&lt;="&amp;IF(ISBLANK($D$5),99999,$D$5))</f>
        <v/>
      </c>
      <c r="E89" s="389">
        <f>COUNTIFS('Master Leads'!$I:$I,"B6",'Master Leads'!$F:$F,"Not Interested",'Master Leads'!$E:$E,"&gt;="&amp;IF(ISBLANK($B$5),0,$B$5),'Master Leads'!$E:$E,"&lt;="&amp;IF(ISBLANK($D$5),99999,$D$5))</f>
        <v/>
      </c>
      <c r="F89" s="389">
        <f>B89-C89-E89</f>
        <v/>
      </c>
      <c r="G89" s="399">
        <f>IF(B89=0,"",C89/B89)</f>
        <v/>
      </c>
      <c r="H89" s="391">
        <f>IF(OR(B89=0,$D$94=0),"",D89/$D$94)</f>
        <v/>
      </c>
      <c r="I89" s="38" t="n"/>
      <c r="J89" s="38" t="n"/>
    </row>
    <row r="90" ht="20" customHeight="1">
      <c r="A90" s="412" t="inlineStr">
        <is>
          <t>B7</t>
        </is>
      </c>
      <c r="B90" s="385">
        <f>COUNTIFS('Master Leads'!$I:$I,"B7",'Master Leads'!$E:$E,"&gt;="&amp;IF(ISBLANK($B$5),0,$B$5),'Master Leads'!$E:$E,"&lt;="&amp;IF(ISBLANK($D$5),99999,$D$5))</f>
        <v/>
      </c>
      <c r="C90" s="385">
        <f>COUNTIFS('Master Leads'!$I:$I,"B7",'Master Leads'!$F:$F,"Converted",'Master Leads'!$E:$E,"&gt;="&amp;IF(ISBLANK($B$5),0,$B$5),'Master Leads'!$E:$E,"&lt;="&amp;IF(ISBLANK($D$5),99999,$D$5))</f>
        <v/>
      </c>
      <c r="D90" s="385">
        <f>COUNTIFS('Master Leads'!$I:$I,"B7",'Master Leads'!$O:$O,"Yes",'Master Leads'!$E:$E,"&gt;="&amp;IF(ISBLANK($B$5),0,$B$5),'Master Leads'!$E:$E,"&lt;="&amp;IF(ISBLANK($D$5),99999,$D$5))</f>
        <v/>
      </c>
      <c r="E90" s="385">
        <f>COUNTIFS('Master Leads'!$I:$I,"B7",'Master Leads'!$F:$F,"Not Interested",'Master Leads'!$E:$E,"&gt;="&amp;IF(ISBLANK($B$5),0,$B$5),'Master Leads'!$E:$E,"&lt;="&amp;IF(ISBLANK($D$5),99999,$D$5))</f>
        <v/>
      </c>
      <c r="F90" s="385">
        <f>B90-C90-E90</f>
        <v/>
      </c>
      <c r="G90" s="397">
        <f>IF(B90=0,"",C90/B90)</f>
        <v/>
      </c>
      <c r="H90" s="387">
        <f>IF(OR(B90=0,$D$94=0),"",D90/$D$94)</f>
        <v/>
      </c>
      <c r="I90" s="38" t="n"/>
      <c r="J90" s="38" t="n"/>
    </row>
    <row r="91" ht="20" customHeight="1">
      <c r="A91" s="413" t="inlineStr">
        <is>
          <t>B8</t>
        </is>
      </c>
      <c r="B91" s="389">
        <f>COUNTIFS('Master Leads'!$I:$I,"B8",'Master Leads'!$E:$E,"&gt;="&amp;IF(ISBLANK($B$5),0,$B$5),'Master Leads'!$E:$E,"&lt;="&amp;IF(ISBLANK($D$5),99999,$D$5))</f>
        <v/>
      </c>
      <c r="C91" s="389">
        <f>COUNTIFS('Master Leads'!$I:$I,"B8",'Master Leads'!$F:$F,"Converted",'Master Leads'!$E:$E,"&gt;="&amp;IF(ISBLANK($B$5),0,$B$5),'Master Leads'!$E:$E,"&lt;="&amp;IF(ISBLANK($D$5),99999,$D$5))</f>
        <v/>
      </c>
      <c r="D91" s="389">
        <f>COUNTIFS('Master Leads'!$I:$I,"B8",'Master Leads'!$O:$O,"Yes",'Master Leads'!$E:$E,"&gt;="&amp;IF(ISBLANK($B$5),0,$B$5),'Master Leads'!$E:$E,"&lt;="&amp;IF(ISBLANK($D$5),99999,$D$5))</f>
        <v/>
      </c>
      <c r="E91" s="389">
        <f>COUNTIFS('Master Leads'!$I:$I,"B8",'Master Leads'!$F:$F,"Not Interested",'Master Leads'!$E:$E,"&gt;="&amp;IF(ISBLANK($B$5),0,$B$5),'Master Leads'!$E:$E,"&lt;="&amp;IF(ISBLANK($D$5),99999,$D$5))</f>
        <v/>
      </c>
      <c r="F91" s="389">
        <f>B91-C91-E91</f>
        <v/>
      </c>
      <c r="G91" s="399">
        <f>IF(B91=0,"",C91/B91)</f>
        <v/>
      </c>
      <c r="H91" s="391">
        <f>IF(OR(B91=0,$D$94=0),"",D91/$D$94)</f>
        <v/>
      </c>
      <c r="I91" s="38" t="n"/>
      <c r="J91" s="38" t="n"/>
    </row>
    <row r="92" ht="20" customHeight="1">
      <c r="A92" s="412" t="inlineStr">
        <is>
          <t>B9</t>
        </is>
      </c>
      <c r="B92" s="385">
        <f>COUNTIFS('Master Leads'!$I:$I,"B9",'Master Leads'!$E:$E,"&gt;="&amp;IF(ISBLANK($B$5),0,$B$5),'Master Leads'!$E:$E,"&lt;="&amp;IF(ISBLANK($D$5),99999,$D$5))</f>
        <v/>
      </c>
      <c r="C92" s="385">
        <f>COUNTIFS('Master Leads'!$I:$I,"B9",'Master Leads'!$F:$F,"Converted",'Master Leads'!$E:$E,"&gt;="&amp;IF(ISBLANK($B$5),0,$B$5),'Master Leads'!$E:$E,"&lt;="&amp;IF(ISBLANK($D$5),99999,$D$5))</f>
        <v/>
      </c>
      <c r="D92" s="385">
        <f>COUNTIFS('Master Leads'!$I:$I,"B9",'Master Leads'!$O:$O,"Yes",'Master Leads'!$E:$E,"&gt;="&amp;IF(ISBLANK($B$5),0,$B$5),'Master Leads'!$E:$E,"&lt;="&amp;IF(ISBLANK($D$5),99999,$D$5))</f>
        <v/>
      </c>
      <c r="E92" s="385">
        <f>COUNTIFS('Master Leads'!$I:$I,"B9",'Master Leads'!$F:$F,"Not Interested",'Master Leads'!$E:$E,"&gt;="&amp;IF(ISBLANK($B$5),0,$B$5),'Master Leads'!$E:$E,"&lt;="&amp;IF(ISBLANK($D$5),99999,$D$5))</f>
        <v/>
      </c>
      <c r="F92" s="385">
        <f>B92-C92-E92</f>
        <v/>
      </c>
      <c r="G92" s="397">
        <f>IF(B92=0,"",C92/B92)</f>
        <v/>
      </c>
      <c r="H92" s="387">
        <f>IF(OR(B92=0,$D$94=0),"",D92/$D$94)</f>
        <v/>
      </c>
      <c r="I92" s="38" t="n"/>
      <c r="J92" s="38" t="n"/>
    </row>
    <row r="93" ht="20" customHeight="1">
      <c r="A93" s="413" t="inlineStr">
        <is>
          <t>B10</t>
        </is>
      </c>
      <c r="B93" s="389">
        <f>COUNTIFS('Master Leads'!$I:$I,"B10",'Master Leads'!$E:$E,"&gt;="&amp;IF(ISBLANK($B$5),0,$B$5),'Master Leads'!$E:$E,"&lt;="&amp;IF(ISBLANK($D$5),99999,$D$5))</f>
        <v/>
      </c>
      <c r="C93" s="389">
        <f>COUNTIFS('Master Leads'!$I:$I,"B10",'Master Leads'!$F:$F,"Converted",'Master Leads'!$E:$E,"&gt;="&amp;IF(ISBLANK($B$5),0,$B$5),'Master Leads'!$E:$E,"&lt;="&amp;IF(ISBLANK($D$5),99999,$D$5))</f>
        <v/>
      </c>
      <c r="D93" s="389">
        <f>COUNTIFS('Master Leads'!$I:$I,"B10",'Master Leads'!$O:$O,"Yes",'Master Leads'!$E:$E,"&gt;="&amp;IF(ISBLANK($B$5),0,$B$5),'Master Leads'!$E:$E,"&lt;="&amp;IF(ISBLANK($D$5),99999,$D$5))</f>
        <v/>
      </c>
      <c r="E93" s="389">
        <f>COUNTIFS('Master Leads'!$I:$I,"B10",'Master Leads'!$F:$F,"Not Interested",'Master Leads'!$E:$E,"&gt;="&amp;IF(ISBLANK($B$5),0,$B$5),'Master Leads'!$E:$E,"&lt;="&amp;IF(ISBLANK($D$5),99999,$D$5))</f>
        <v/>
      </c>
      <c r="F93" s="389">
        <f>B93-C93-E93</f>
        <v/>
      </c>
      <c r="G93" s="399">
        <f>IF(B93=0,"",C93/B93)</f>
        <v/>
      </c>
      <c r="H93" s="391">
        <f>IF(OR(B93=0,$D$94=0),"",D93/$D$94)</f>
        <v/>
      </c>
      <c r="I93" s="38" t="n"/>
      <c r="J93" s="38" t="n"/>
    </row>
    <row r="94" ht="22" customHeight="1">
      <c r="A94" s="414" t="inlineStr">
        <is>
          <t>TOTAL CAMPAIGN</t>
        </is>
      </c>
      <c r="B94" s="414">
        <f>SUM(B84:B93)</f>
        <v/>
      </c>
      <c r="C94" s="414">
        <f>SUM(C84:C93)</f>
        <v/>
      </c>
      <c r="D94" s="414">
        <f>SUM(D84:D93)</f>
        <v/>
      </c>
      <c r="E94" s="414">
        <f>SUM(E84:E93)</f>
        <v/>
      </c>
      <c r="F94" s="414">
        <f>SUM(F84:F93)</f>
        <v/>
      </c>
      <c r="G94" s="415">
        <f>IF(B94=0,"",C94/B94)</f>
        <v/>
      </c>
      <c r="H94" s="415" t="n">
        <v>1</v>
      </c>
      <c r="I94" s="38" t="n"/>
      <c r="J94" s="38" t="n"/>
    </row>
    <row r="95">
      <c r="A95" s="38" t="n"/>
      <c r="B95" s="38" t="n"/>
      <c r="C95" s="38" t="n"/>
      <c r="D95" s="38" t="n"/>
      <c r="E95" s="38" t="n"/>
      <c r="F95" s="38" t="n"/>
      <c r="G95" s="38" t="n"/>
      <c r="H95" s="38" t="n"/>
      <c r="I95" s="38" t="n"/>
      <c r="J95" s="38" t="n"/>
    </row>
    <row r="96">
      <c r="A96" s="38" t="n"/>
      <c r="B96" s="38" t="n"/>
      <c r="C96" s="38" t="n"/>
      <c r="D96" s="38" t="n"/>
      <c r="E96" s="38" t="n"/>
      <c r="F96" s="38" t="n"/>
      <c r="G96" s="38" t="n"/>
      <c r="H96" s="38" t="n"/>
      <c r="I96" s="38" t="n"/>
      <c r="J96" s="38" t="n"/>
    </row>
    <row r="97">
      <c r="A97" s="38" t="n"/>
      <c r="B97" s="38" t="n"/>
      <c r="C97" s="38" t="n"/>
      <c r="D97" s="38" t="n"/>
      <c r="E97" s="38" t="n"/>
      <c r="F97" s="38" t="n"/>
      <c r="G97" s="38" t="n"/>
      <c r="H97" s="38" t="n"/>
      <c r="I97" s="38" t="n"/>
      <c r="J97" s="38" t="n"/>
    </row>
    <row r="98">
      <c r="A98" s="38" t="n"/>
      <c r="B98" s="38" t="n"/>
      <c r="C98" s="38" t="n"/>
      <c r="D98" s="38" t="n"/>
      <c r="E98" s="38" t="n"/>
      <c r="F98" s="38" t="n"/>
      <c r="G98" s="38" t="n"/>
      <c r="H98" s="38" t="n"/>
      <c r="I98" s="38" t="n"/>
      <c r="J98" s="38" t="n"/>
    </row>
    <row r="99">
      <c r="A99" s="38" t="n"/>
      <c r="B99" s="38" t="n"/>
      <c r="C99" s="38" t="n"/>
      <c r="D99" s="38" t="n"/>
      <c r="E99" s="38" t="n"/>
      <c r="F99" s="38" t="n"/>
      <c r="G99" s="38" t="n"/>
      <c r="H99" s="38" t="n"/>
      <c r="I99" s="38" t="n"/>
      <c r="J99" s="38" t="n"/>
    </row>
    <row r="100">
      <c r="A100" s="38" t="n"/>
      <c r="B100" s="38" t="n"/>
      <c r="C100" s="38" t="n"/>
      <c r="D100" s="38" t="n"/>
      <c r="E100" s="38" t="n"/>
      <c r="F100" s="38" t="n"/>
      <c r="G100" s="38" t="n"/>
      <c r="H100" s="38" t="n"/>
      <c r="I100" s="38" t="n"/>
      <c r="J100" s="38" t="n"/>
    </row>
    <row r="101">
      <c r="A101" s="38" t="n"/>
      <c r="B101" s="38" t="n"/>
      <c r="C101" s="38" t="n"/>
      <c r="D101" s="38" t="n"/>
      <c r="E101" s="38" t="n"/>
      <c r="F101" s="38" t="n"/>
      <c r="G101" s="38" t="n"/>
      <c r="H101" s="38" t="n"/>
      <c r="I101" s="38" t="n"/>
      <c r="J101" s="38" t="n"/>
    </row>
    <row r="102">
      <c r="A102" s="38" t="n"/>
      <c r="B102" s="38" t="n"/>
      <c r="C102" s="38" t="n"/>
      <c r="D102" s="38" t="n"/>
      <c r="E102" s="38" t="n"/>
      <c r="F102" s="38" t="n"/>
      <c r="G102" s="38" t="n"/>
      <c r="H102" s="38" t="n"/>
      <c r="I102" s="38" t="n"/>
      <c r="J102" s="38" t="n"/>
    </row>
    <row r="103">
      <c r="A103" s="38" t="n"/>
      <c r="B103" s="38" t="n"/>
      <c r="C103" s="38" t="n"/>
      <c r="D103" s="38" t="n"/>
      <c r="E103" s="38" t="n"/>
      <c r="F103" s="38" t="n"/>
      <c r="G103" s="38" t="n"/>
      <c r="H103" s="38" t="n"/>
      <c r="I103" s="38" t="n"/>
      <c r="J103" s="38" t="n"/>
    </row>
    <row r="104">
      <c r="A104" s="38" t="n"/>
      <c r="B104" s="38" t="n"/>
      <c r="C104" s="38" t="n"/>
      <c r="D104" s="38" t="n"/>
      <c r="E104" s="38" t="n"/>
      <c r="F104" s="38" t="n"/>
      <c r="G104" s="38" t="n"/>
      <c r="H104" s="38" t="n"/>
      <c r="I104" s="38" t="n"/>
      <c r="J104" s="38" t="n"/>
    </row>
    <row r="105">
      <c r="A105" s="38" t="n"/>
      <c r="B105" s="38" t="n"/>
      <c r="C105" s="38" t="n"/>
      <c r="D105" s="38" t="n"/>
      <c r="E105" s="38" t="n"/>
      <c r="F105" s="38" t="n"/>
      <c r="G105" s="38" t="n"/>
      <c r="H105" s="38" t="n"/>
      <c r="I105" s="38" t="n"/>
      <c r="J105" s="38" t="n"/>
    </row>
    <row r="106">
      <c r="A106" s="38" t="n"/>
      <c r="B106" s="38" t="n"/>
      <c r="C106" s="38" t="n"/>
      <c r="D106" s="38" t="n"/>
      <c r="E106" s="38" t="n"/>
      <c r="F106" s="38" t="n"/>
      <c r="G106" s="38" t="n"/>
      <c r="H106" s="38" t="n"/>
      <c r="I106" s="38" t="n"/>
      <c r="J106" s="38" t="n"/>
    </row>
    <row r="107">
      <c r="A107" s="38" t="n"/>
      <c r="B107" s="38" t="n"/>
      <c r="C107" s="38" t="n"/>
      <c r="D107" s="38" t="n"/>
      <c r="E107" s="38" t="n"/>
      <c r="F107" s="38" t="n"/>
      <c r="G107" s="38" t="n"/>
      <c r="H107" s="38" t="n"/>
      <c r="I107" s="38" t="n"/>
      <c r="J107" s="38" t="n"/>
    </row>
    <row r="108">
      <c r="A108" s="38" t="n"/>
      <c r="B108" s="38" t="n"/>
      <c r="C108" s="38" t="n"/>
      <c r="D108" s="38" t="n"/>
      <c r="E108" s="38" t="n"/>
      <c r="F108" s="38" t="n"/>
      <c r="G108" s="38" t="n"/>
      <c r="H108" s="38" t="n"/>
      <c r="I108" s="38" t="n"/>
      <c r="J108" s="38" t="n"/>
    </row>
    <row r="109">
      <c r="A109" s="38" t="n"/>
      <c r="B109" s="38" t="n"/>
      <c r="C109" s="38" t="n"/>
      <c r="D109" s="38" t="n"/>
      <c r="E109" s="38" t="n"/>
      <c r="F109" s="38" t="n"/>
      <c r="G109" s="38" t="n"/>
      <c r="H109" s="38" t="n"/>
      <c r="I109" s="38" t="n"/>
      <c r="J109" s="38" t="n"/>
    </row>
    <row r="110">
      <c r="A110" s="38" t="n"/>
      <c r="B110" s="38" t="n"/>
      <c r="C110" s="38" t="n"/>
      <c r="D110" s="38" t="n"/>
      <c r="E110" s="38" t="n"/>
      <c r="F110" s="38" t="n"/>
      <c r="G110" s="38" t="n"/>
      <c r="H110" s="38" t="n"/>
      <c r="I110" s="38" t="n"/>
      <c r="J110" s="38" t="n"/>
    </row>
    <row r="111">
      <c r="A111" s="38" t="n"/>
      <c r="B111" s="38" t="n"/>
      <c r="C111" s="38" t="n"/>
      <c r="D111" s="38" t="n"/>
      <c r="E111" s="38" t="n"/>
      <c r="F111" s="38" t="n"/>
      <c r="G111" s="38" t="n"/>
      <c r="H111" s="38" t="n"/>
      <c r="I111" s="38" t="n"/>
      <c r="J111" s="38" t="n"/>
    </row>
    <row r="112">
      <c r="A112" s="38" t="n"/>
      <c r="B112" s="38" t="n"/>
      <c r="C112" s="38" t="n"/>
      <c r="D112" s="38" t="n"/>
      <c r="E112" s="38" t="n"/>
      <c r="F112" s="38" t="n"/>
      <c r="G112" s="38" t="n"/>
      <c r="H112" s="38" t="n"/>
      <c r="I112" s="38" t="n"/>
      <c r="J112" s="38" t="n"/>
    </row>
    <row r="113">
      <c r="A113" s="38" t="n"/>
      <c r="B113" s="38" t="n"/>
      <c r="C113" s="38" t="n"/>
      <c r="D113" s="38" t="n"/>
      <c r="E113" s="38" t="n"/>
      <c r="F113" s="38" t="n"/>
      <c r="G113" s="38" t="n"/>
      <c r="H113" s="38" t="n"/>
      <c r="I113" s="38" t="n"/>
      <c r="J113" s="38" t="n"/>
    </row>
    <row r="114">
      <c r="A114" s="38" t="n"/>
      <c r="B114" s="38" t="n"/>
      <c r="C114" s="38" t="n"/>
      <c r="D114" s="38" t="n"/>
      <c r="E114" s="38" t="n"/>
      <c r="F114" s="38" t="n"/>
      <c r="G114" s="38" t="n"/>
      <c r="H114" s="38" t="n"/>
      <c r="I114" s="38" t="n"/>
      <c r="J114" s="38" t="n"/>
    </row>
    <row r="115">
      <c r="A115" s="38" t="n"/>
      <c r="B115" s="38" t="n"/>
      <c r="C115" s="38" t="n"/>
      <c r="D115" s="38" t="n"/>
      <c r="E115" s="38" t="n"/>
      <c r="F115" s="38" t="n"/>
      <c r="G115" s="38" t="n"/>
      <c r="H115" s="38" t="n"/>
      <c r="I115" s="38" t="n"/>
      <c r="J115" s="38" t="n"/>
    </row>
    <row r="116">
      <c r="A116" s="38" t="n"/>
      <c r="B116" s="38" t="n"/>
      <c r="C116" s="38" t="n"/>
      <c r="D116" s="38" t="n"/>
      <c r="E116" s="38" t="n"/>
      <c r="F116" s="38" t="n"/>
      <c r="G116" s="38" t="n"/>
      <c r="H116" s="38" t="n"/>
      <c r="I116" s="38" t="n"/>
      <c r="J116" s="38" t="n"/>
    </row>
    <row r="117">
      <c r="A117" s="38" t="n"/>
      <c r="B117" s="38" t="n"/>
      <c r="C117" s="38" t="n"/>
      <c r="D117" s="38" t="n"/>
      <c r="E117" s="38" t="n"/>
      <c r="F117" s="38" t="n"/>
      <c r="G117" s="38" t="n"/>
      <c r="H117" s="38" t="n"/>
      <c r="I117" s="38" t="n"/>
      <c r="J117" s="38" t="n"/>
    </row>
    <row r="118">
      <c r="A118" s="38" t="n"/>
      <c r="B118" s="38" t="n"/>
      <c r="C118" s="38" t="n"/>
      <c r="D118" s="38" t="n"/>
      <c r="E118" s="38" t="n"/>
      <c r="F118" s="38" t="n"/>
      <c r="G118" s="38" t="n"/>
      <c r="H118" s="38" t="n"/>
      <c r="I118" s="38" t="n"/>
      <c r="J118" s="38" t="n"/>
    </row>
    <row r="119">
      <c r="A119" s="38" t="n"/>
      <c r="B119" s="38" t="n"/>
      <c r="C119" s="38" t="n"/>
      <c r="D119" s="38" t="n"/>
      <c r="E119" s="38" t="n"/>
      <c r="F119" s="38" t="n"/>
      <c r="G119" s="38" t="n"/>
      <c r="H119" s="38" t="n"/>
      <c r="I119" s="38" t="n"/>
      <c r="J119" s="38" t="n"/>
    </row>
  </sheetData>
  <mergeCells count="3">
    <mergeCell ref="E5:J5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34E4A"/>
    <outlinePr summaryBelow="1" summaryRight="1"/>
    <pageSetUpPr/>
  </sheetPr>
  <dimension ref="A1:I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6" customWidth="1" min="5" max="5"/>
    <col width="20" customWidth="1" min="6" max="6"/>
    <col width="18" customWidth="1" min="7" max="7"/>
    <col width="14" customWidth="1" min="8" max="8"/>
    <col width="25" customWidth="1" min="9" max="9"/>
  </cols>
  <sheetData>
    <row r="1" ht="28" customHeight="1">
      <c r="A1" s="1" t="inlineStr">
        <is>
          <t>Member Name</t>
        </is>
      </c>
      <c r="B1" s="2" t="inlineStr">
        <is>
          <t>Total Leads (auto)</t>
        </is>
      </c>
      <c r="C1" s="8" t="inlineStr">
        <is>
          <t>Converted Leads (auto)</t>
        </is>
      </c>
      <c r="D1" s="8" t="inlineStr">
        <is>
          <t>Paid (auto)</t>
        </is>
      </c>
      <c r="E1" s="6" t="inlineStr">
        <is>
          <t>No Answer (auto)</t>
        </is>
      </c>
      <c r="F1" s="4" t="inlineStr">
        <is>
          <t>Conversion Rate (auto)</t>
        </is>
      </c>
      <c r="G1" s="4" t="inlineStr">
        <is>
          <t>Paid Rate (auto)</t>
        </is>
      </c>
      <c r="H1" s="3" t="inlineStr">
        <is>
          <t>Date Joined</t>
        </is>
      </c>
      <c r="I1" s="3" t="inlineStr">
        <is>
          <t>Notes / Role</t>
        </is>
      </c>
    </row>
    <row r="2" ht="22" customHeight="1">
      <c r="A2" s="17" t="inlineStr">
        <is>
          <t>maheesha</t>
        </is>
      </c>
      <c r="B2" s="18">
        <f>COUNTIF('Master Leads'!D:D,A2)</f>
        <v/>
      </c>
      <c r="C2" s="19">
        <f>COUNTIFS('Master Leads'!D:D,A2,'Master Leads'!F:F,"Converted")</f>
        <v/>
      </c>
      <c r="D2" s="19">
        <f>COUNTIFS('Master Leads'!D:D,A2,'Master Leads'!O:O,"Yes")</f>
        <v/>
      </c>
      <c r="E2" s="20">
        <f>COUNTIFS('Master Leads'!D:D,A2,'Master Leads'!F:F,"No Answer")</f>
        <v/>
      </c>
      <c r="F2" s="21">
        <f>IFERROR(C2/B2,"-")</f>
        <v/>
      </c>
      <c r="G2" s="21">
        <f>IFERROR(D2/B2,"-")</f>
        <v/>
      </c>
      <c r="H2" s="22" t="n"/>
      <c r="I2" s="23" t="n"/>
    </row>
    <row r="3" ht="22" customHeight="1">
      <c r="A3" s="24" t="inlineStr">
        <is>
          <t>menik</t>
        </is>
      </c>
      <c r="B3" s="365">
        <f>COUNTIF('Master Leads'!D:D,A3)</f>
        <v/>
      </c>
      <c r="C3" s="349">
        <f>COUNTIFS('Master Leads'!D:D,A3,'Master Leads'!F:F,"Converted")</f>
        <v/>
      </c>
      <c r="D3" s="349">
        <f>COUNTIFS('Master Leads'!D:D,A3,'Master Leads'!O:O,"Yes")</f>
        <v/>
      </c>
      <c r="E3" s="27">
        <f>COUNTIFS('Master Leads'!D:D,A3,'Master Leads'!F:F,"No Answer")</f>
        <v/>
      </c>
      <c r="F3" s="340">
        <f>IFERROR(C3/B3,"-")</f>
        <v/>
      </c>
      <c r="G3" s="340">
        <f>IFERROR(D3/B3,"-")</f>
        <v/>
      </c>
      <c r="H3" s="29" t="n"/>
      <c r="I3" s="30" t="n"/>
    </row>
    <row r="4" ht="22" customHeight="1">
      <c r="A4" s="17" t="inlineStr">
        <is>
          <t>kavinda</t>
        </is>
      </c>
      <c r="B4" s="18">
        <f>COUNTIF('Master Leads'!D:D,A4)</f>
        <v/>
      </c>
      <c r="C4" s="19">
        <f>COUNTIFS('Master Leads'!D:D,A4,'Master Leads'!F:F,"Converted")</f>
        <v/>
      </c>
      <c r="D4" s="19">
        <f>COUNTIFS('Master Leads'!D:D,A4,'Master Leads'!O:O,"Yes")</f>
        <v/>
      </c>
      <c r="E4" s="20">
        <f>COUNTIFS('Master Leads'!D:D,A4,'Master Leads'!F:F,"No Answer")</f>
        <v/>
      </c>
      <c r="F4" s="21">
        <f>IFERROR(C4/B4,"-")</f>
        <v/>
      </c>
      <c r="G4" s="21">
        <f>IFERROR(D4/B4,"-")</f>
        <v/>
      </c>
      <c r="H4" s="22" t="n"/>
      <c r="I4" s="23" t="n"/>
    </row>
    <row r="5" ht="22" customHeight="1">
      <c r="A5" s="24" t="inlineStr">
        <is>
          <t>umesh</t>
        </is>
      </c>
      <c r="B5" s="365">
        <f>COUNTIF('Master Leads'!D:D,A5)</f>
        <v/>
      </c>
      <c r="C5" s="349">
        <f>COUNTIFS('Master Leads'!D:D,A5,'Master Leads'!F:F,"Converted")</f>
        <v/>
      </c>
      <c r="D5" s="349">
        <f>COUNTIFS('Master Leads'!D:D,A5,'Master Leads'!O:O,"Yes")</f>
        <v/>
      </c>
      <c r="E5" s="27">
        <f>COUNTIFS('Master Leads'!D:D,A5,'Master Leads'!F:F,"No Answer")</f>
        <v/>
      </c>
      <c r="F5" s="340">
        <f>IFERROR(C5/B5,"-")</f>
        <v/>
      </c>
      <c r="G5" s="340">
        <f>IFERROR(D5/B5,"-")</f>
        <v/>
      </c>
      <c r="H5" s="29" t="n"/>
      <c r="I5" s="30" t="n"/>
    </row>
    <row r="6" ht="22" customHeight="1">
      <c r="A6" s="17" t="inlineStr">
        <is>
          <t>Avishka</t>
        </is>
      </c>
      <c r="B6" s="18">
        <f>COUNTIF('Master Leads'!D:D,A6)</f>
        <v/>
      </c>
      <c r="C6" s="19">
        <f>COUNTIFS('Master Leads'!D:D,A6,'Master Leads'!F:F,"Converted")</f>
        <v/>
      </c>
      <c r="D6" s="19">
        <f>COUNTIFS('Master Leads'!D:D,A6,'Master Leads'!O:O,"Yes")</f>
        <v/>
      </c>
      <c r="E6" s="20">
        <f>COUNTIFS('Master Leads'!D:D,A6,'Master Leads'!F:F,"No Answer")</f>
        <v/>
      </c>
      <c r="F6" s="21">
        <f>IFERROR(C6/B6,"-")</f>
        <v/>
      </c>
      <c r="G6" s="21">
        <f>IFERROR(D6/B6,"-")</f>
        <v/>
      </c>
      <c r="H6" s="22" t="n"/>
      <c r="I6" s="23" t="n"/>
    </row>
    <row r="7" ht="22" customHeight="1">
      <c r="A7" s="24" t="inlineStr">
        <is>
          <t>Wihanga</t>
        </is>
      </c>
      <c r="B7" s="365">
        <f>COUNTIF('Master Leads'!D:D,A7)</f>
        <v/>
      </c>
      <c r="C7" s="349">
        <f>COUNTIFS('Master Leads'!D:D,A7,'Master Leads'!F:F,"Converted")</f>
        <v/>
      </c>
      <c r="D7" s="349">
        <f>COUNTIFS('Master Leads'!D:D,A7,'Master Leads'!O:O,"Yes")</f>
        <v/>
      </c>
      <c r="E7" s="27">
        <f>COUNTIFS('Master Leads'!D:D,A7,'Master Leads'!F:F,"No Answer")</f>
        <v/>
      </c>
      <c r="F7" s="340">
        <f>IFERROR(C7/B7,"-")</f>
        <v/>
      </c>
      <c r="G7" s="340">
        <f>IFERROR(D7/B7,"-")</f>
        <v/>
      </c>
      <c r="H7" s="29" t="n"/>
      <c r="I7" s="30" t="n"/>
    </row>
    <row r="8" ht="22" customHeight="1">
      <c r="A8" s="17" t="inlineStr">
        <is>
          <t>muthumali</t>
        </is>
      </c>
      <c r="B8" s="18">
        <f>COUNTIF('Master Leads'!D:D,A8)</f>
        <v/>
      </c>
      <c r="C8" s="19">
        <f>COUNTIFS('Master Leads'!D:D,A8,'Master Leads'!F:F,"Converted")</f>
        <v/>
      </c>
      <c r="D8" s="19">
        <f>COUNTIFS('Master Leads'!D:D,A8,'Master Leads'!O:O,"Yes")</f>
        <v/>
      </c>
      <c r="E8" s="20">
        <f>COUNTIFS('Master Leads'!D:D,A8,'Master Leads'!F:F,"No Answer")</f>
        <v/>
      </c>
      <c r="F8" s="21">
        <f>IFERROR(C8/B8,"-")</f>
        <v/>
      </c>
      <c r="G8" s="21">
        <f>IFERROR(D8/B8,"-")</f>
        <v/>
      </c>
      <c r="H8" s="22" t="n"/>
      <c r="I8" s="23" t="n"/>
    </row>
    <row r="9" ht="22" customHeight="1">
      <c r="A9" s="24" t="inlineStr">
        <is>
          <t>shamali</t>
        </is>
      </c>
      <c r="B9" s="365">
        <f>COUNTIF('Master Leads'!D:D,A9)</f>
        <v/>
      </c>
      <c r="C9" s="349">
        <f>COUNTIFS('Master Leads'!D:D,A9,'Master Leads'!F:F,"Converted")</f>
        <v/>
      </c>
      <c r="D9" s="349">
        <f>COUNTIFS('Master Leads'!D:D,A9,'Master Leads'!O:O,"Yes")</f>
        <v/>
      </c>
      <c r="E9" s="27">
        <f>COUNTIFS('Master Leads'!D:D,A9,'Master Leads'!F:F,"No Answer")</f>
        <v/>
      </c>
      <c r="F9" s="340">
        <f>IFERROR(C9/B9,"-")</f>
        <v/>
      </c>
      <c r="G9" s="340">
        <f>IFERROR(D9/B9,"-")</f>
        <v/>
      </c>
      <c r="H9" s="29" t="n"/>
      <c r="I9" s="30" t="n"/>
    </row>
    <row r="10" ht="24" customHeight="1">
      <c r="A10" s="345" t="inlineStr">
        <is>
          <t>TOTAL</t>
        </is>
      </c>
      <c r="B10" s="32">
        <f>COUNTA('Master Leads'!B:B)-1</f>
        <v/>
      </c>
      <c r="C10" s="32">
        <f>COUNTIF('Master Leads'!F:F,"Converted")</f>
        <v/>
      </c>
      <c r="D10" s="32">
        <f>COUNTIF('Master Leads'!O:O,"Yes")</f>
        <v/>
      </c>
      <c r="E10" s="32">
        <f>COUNTIF('Master Leads'!F:F,"No Answer")</f>
        <v/>
      </c>
      <c r="F10" s="33" t="n"/>
      <c r="G10" s="33" t="n"/>
      <c r="H10" s="33" t="n"/>
      <c r="I10" s="33" t="n"/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4748B"/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0" customHeight="1">
      <c r="A1" s="34" t="inlineStr">
        <is>
          <t>LEAD MANAGEMENT SYSTEM v9  —  Google Sheets Edition</t>
        </is>
      </c>
    </row>
    <row r="2" ht="8" customHeight="1">
      <c r="A2" s="35" t="inlineStr"/>
    </row>
    <row r="3" ht="20" customHeight="1">
      <c r="A3" s="36" t="inlineStr">
        <is>
          <t>HOW TO USE THIS SYSTEM</t>
        </is>
      </c>
    </row>
    <row r="4" ht="8" customHeight="1">
      <c r="A4" s="35" t="inlineStr"/>
    </row>
    <row r="5" ht="20" customHeight="1">
      <c r="A5" s="37" t="inlineStr">
        <is>
          <t>1.  Upload this file to Google Sheets (File &gt; Import, or drag and drop onto drive.google.com)</t>
        </is>
      </c>
    </row>
    <row r="6" ht="20" customHeight="1">
      <c r="A6" s="37" t="inlineStr">
        <is>
          <t>2.  Go to Extensions &gt; Apps Script and paste the new v9 Apps Script code</t>
        </is>
      </c>
    </row>
    <row r="7" ht="20" customHeight="1">
      <c r="A7" s="37" t="inlineStr">
        <is>
          <t>3.  Save the script (Ctrl+S), then reload the sheet</t>
        </is>
      </c>
    </row>
    <row r="8" ht="20" customHeight="1">
      <c r="A8" s="37" t="inlineStr">
        <is>
          <t>4.  A 'Lead Tools' menu will appear at the top</t>
        </is>
      </c>
    </row>
    <row r="9" ht="8" customHeight="1">
      <c r="A9" s="35" t="inlineStr"/>
    </row>
    <row r="10" ht="20" customHeight="1">
      <c r="A10" s="36" t="inlineStr">
        <is>
          <t>LEAD TOOLS MENU OPTIONS</t>
        </is>
      </c>
    </row>
    <row r="11" ht="8" customHeight="1">
      <c r="A11" s="35" t="inlineStr"/>
    </row>
    <row r="12" ht="20" customHeight="1">
      <c r="A12" s="37" t="inlineStr">
        <is>
          <t xml:space="preserve">  Add New Lead         — Enter phone + campaign + member. Auto: F-Code, Date, Duplicate check, Repeat tag</t>
        </is>
      </c>
    </row>
    <row r="13" ht="20" customHeight="1">
      <c r="A13" s="37" t="inlineStr">
        <is>
          <t xml:space="preserve">  Look Up a Number     — See full history of any phone number across all campaigns</t>
        </is>
      </c>
    </row>
    <row r="14" ht="20" customHeight="1">
      <c r="A14" s="37" t="inlineStr">
        <is>
          <t xml:space="preserve">  Add New Member       — Add a new team member to the Members sheet (auto-updates all dropdowns)</t>
        </is>
      </c>
    </row>
    <row r="15" ht="20" customHeight="1">
      <c r="A15" s="37" t="inlineStr">
        <is>
          <t xml:space="preserve">  Remove Member        — Soft-remove: blanks the name but keeps all their lead history</t>
        </is>
      </c>
    </row>
    <row r="16" ht="8" customHeight="1">
      <c r="A16" s="35" t="inlineStr"/>
    </row>
    <row r="17" ht="20" customHeight="1">
      <c r="A17" s="36" t="inlineStr">
        <is>
          <t>COLUMNS IN MASTER LEADS</t>
        </is>
      </c>
    </row>
    <row r="18" ht="8" customHeight="1">
      <c r="A18" s="35" t="inlineStr"/>
    </row>
    <row r="19" ht="20" customHeight="1">
      <c r="A19" s="37" t="inlineStr">
        <is>
          <t xml:space="preserve">  A  Phone (Normalized)      — Auto-formula. Do NOT edit manually.</t>
        </is>
      </c>
    </row>
    <row r="20" ht="20" customHeight="1">
      <c r="A20" s="37" t="inlineStr">
        <is>
          <t xml:space="preserve">  B  Raw Phone               — Enter exactly as dialled (+94 / 07xx / 9 digits)</t>
        </is>
      </c>
    </row>
    <row r="21" ht="20" customHeight="1">
      <c r="A21" s="37" t="inlineStr">
        <is>
          <t xml:space="preserve">  C  F-Code                  — Auto-assigned. Same number always gets same F-Code.</t>
        </is>
      </c>
    </row>
    <row r="22" ht="20" customHeight="1">
      <c r="A22" s="37" t="inlineStr">
        <is>
          <t xml:space="preserve">  D  Assigned Member         — Pick from dropdown (Members sheet auto-feeds this list)</t>
        </is>
      </c>
    </row>
    <row r="23" ht="20" customHeight="1">
      <c r="A23" s="37" t="inlineStr">
        <is>
          <t xml:space="preserve">  E  Date Added              — Auto-filled when phone is entered</t>
        </is>
      </c>
    </row>
    <row r="24" ht="20" customHeight="1">
      <c r="A24" s="37" t="inlineStr">
        <is>
          <t xml:space="preserve">  F  Status                  — Dropdown: New / Contacted / Interested / Converted / No Answer / etc.</t>
        </is>
      </c>
    </row>
    <row r="25" ht="20" customHeight="1">
      <c r="A25" s="37" t="inlineStr">
        <is>
          <t xml:space="preserve">  G  Grade                   — Dropdown: 6, 7, 8, 9, 10, 11</t>
        </is>
      </c>
    </row>
    <row r="26" ht="20" customHeight="1">
      <c r="A26" s="37" t="inlineStr">
        <is>
          <t xml:space="preserve">  H  Comments                — Free text notes</t>
        </is>
      </c>
    </row>
    <row r="27" ht="20" customHeight="1">
      <c r="A27" s="37" t="inlineStr">
        <is>
          <t xml:space="preserve">  I  Second Call Done        — Dropdown: Yes / No</t>
        </is>
      </c>
    </row>
    <row r="28" ht="20" customHeight="1">
      <c r="A28" s="37" t="inlineStr">
        <is>
          <t xml:space="preserve">  J  Second Call Notes       — Notes after second call</t>
        </is>
      </c>
    </row>
    <row r="29" ht="20" customHeight="1">
      <c r="A29" s="37" t="inlineStr">
        <is>
          <t xml:space="preserve">  K  Duplicate Check         — Auto-formula. RED = same phone + same campaign already exists</t>
        </is>
      </c>
    </row>
    <row r="30" ht="20" customHeight="1">
      <c r="A30" s="37" t="inlineStr">
        <is>
          <t xml:space="preserve">  L  Campaign / Boost Name   — e.g. B1, B2, Facebook July etc.</t>
        </is>
      </c>
    </row>
    <row r="31" ht="20" customHeight="1">
      <c r="A31" s="37" t="inlineStr">
        <is>
          <t xml:space="preserve">  M  Repeat Student?         — Auto-formula. Detects if phone was seen in an earlier row.</t>
        </is>
      </c>
    </row>
    <row r="32" ht="20" customHeight="1">
      <c r="A32" s="37" t="inlineStr">
        <is>
          <t xml:space="preserve">  N  Previous F-Code         — Auto-formula. Shows the original F-Code for repeat students.</t>
        </is>
      </c>
    </row>
    <row r="33" ht="20" customHeight="1">
      <c r="A33" s="37" t="inlineStr">
        <is>
          <t xml:space="preserve">  O  Paid                    — Dropdown: Yes / No. Fill after fee is confirmed.</t>
        </is>
      </c>
    </row>
    <row r="34" ht="20" customHeight="1">
      <c r="A34" s="37" t="inlineStr">
        <is>
          <t xml:space="preserve">  P  Grade (Final)           — Final enrolled grade (may differ from initial enquiry)</t>
        </is>
      </c>
    </row>
    <row r="35" ht="8" customHeight="1">
      <c r="A35" s="35" t="inlineStr"/>
    </row>
    <row r="36" ht="20" customHeight="1">
      <c r="A36" s="36" t="inlineStr">
        <is>
          <t>ADDING A NEW MEMBER</t>
        </is>
      </c>
    </row>
    <row r="37" ht="8" customHeight="1">
      <c r="A37" s="35" t="inlineStr"/>
    </row>
    <row r="38" ht="20" customHeight="1">
      <c r="A38" s="37" t="inlineStr">
        <is>
          <t xml:space="preserve">  Option 1 (Recommended): Lead Tools &gt; Add New Member &gt; type their name &gt; Done!</t>
        </is>
      </c>
    </row>
    <row r="39" ht="20" customHeight="1">
      <c r="A39" s="37" t="inlineStr">
        <is>
          <t xml:space="preserve">  Option 2 (Manual):      Go to Members sheet &gt; type name in column A below last entry</t>
        </is>
      </c>
    </row>
    <row r="40" ht="20" customHeight="1">
      <c r="A40" s="37" t="inlineStr">
        <is>
          <t xml:space="preserve">  Both methods: The member dropdown in Master Leads col D will auto-show them immediately.</t>
        </is>
      </c>
    </row>
    <row r="41" ht="8" customHeight="1">
      <c r="A41" s="35" t="inlineStr"/>
    </row>
    <row r="42" ht="20" customHeight="1">
      <c r="A42" s="36" t="inlineStr">
        <is>
          <t>COLOUR CODING IN MASTER LEADS</t>
        </is>
      </c>
    </row>
    <row r="43" ht="8" customHeight="1">
      <c r="A43" s="35" t="inlineStr"/>
    </row>
    <row r="44" ht="20" customHeight="1">
      <c r="A44" s="37" t="inlineStr">
        <is>
          <t xml:space="preserve">  RED row    — Duplicate (same phone + same campaign already logged)</t>
        </is>
      </c>
    </row>
    <row r="45" ht="20" customHeight="1">
      <c r="A45" s="37" t="inlineStr">
        <is>
          <t xml:space="preserve">  ORANGE     — Phone entered but F-Code or Member not yet filled</t>
        </is>
      </c>
    </row>
    <row r="46" ht="20" customHeight="1">
      <c r="A46" s="37" t="inlineStr">
        <is>
          <t xml:space="preserve">  GREEN      — Status = Converted</t>
        </is>
      </c>
    </row>
    <row r="47" ht="20" customHeight="1">
      <c r="A47" s="37" t="inlineStr">
        <is>
          <t xml:space="preserve">  BLUE       — Status = New</t>
        </is>
      </c>
    </row>
    <row r="48" ht="20" customHeight="1">
      <c r="A48" s="37" t="inlineStr">
        <is>
          <t xml:space="preserve">  GREY       — Status = Contacted</t>
        </is>
      </c>
    </row>
    <row r="49" ht="20" customHeight="1">
      <c r="A49" s="37" t="inlineStr">
        <is>
          <t xml:space="preserve">  LIGHT BLUE — Repeat Student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2026-07-20T17:38:33Z</dcterms:created>
  <dcterms:modified xmlns:dcterms="http://purl.org/dc/terms/" xmlns:xsi="http://www.w3.org/2001/XMLSchema-instance" xsi:type="dcterms:W3CDTF">2026-07-23T05:02:34Z</dcterms:modified>
</cp:coreProperties>
</file>